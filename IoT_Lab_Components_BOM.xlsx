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MacBook/Documents/JECC/Subjects/IoT&amp;Applications/"/>
    </mc:Choice>
  </mc:AlternateContent>
  <xr:revisionPtr revIDLastSave="0" documentId="13_ncr:1_{D66110CE-8967-BD41-9FA2-5BC8AEAA7A6D}" xr6:coauthVersionLast="47" xr6:coauthVersionMax="47" xr10:uidLastSave="{00000000-0000-0000-0000-000000000000}"/>
  <bookViews>
    <workbookView xWindow="0" yWindow="660" windowWidth="34560" windowHeight="21680" tabRatio="500" xr2:uid="{00000000-000D-0000-FFFF-FFFF00000000}"/>
  </bookViews>
  <sheets>
    <sheet name="Bill of Materials" sheetId="1" r:id="rId1"/>
    <sheet name="Per Experiment" sheetId="2" r:id="rId2"/>
    <sheet name="Software &amp; Tool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4" i="1"/>
  <c r="G26" i="1" l="1"/>
  <c r="E26" i="1"/>
</calcChain>
</file>

<file path=xl/sharedStrings.xml><?xml version="1.0" encoding="utf-8"?>
<sst xmlns="http://schemas.openxmlformats.org/spreadsheetml/2006/main" count="374" uniqueCount="261">
  <si>
    <t>IoT &amp; Applications Lab — Bill of Materials (PEMRT525)</t>
  </si>
  <si>
    <t>#</t>
  </si>
  <si>
    <t>Component</t>
  </si>
  <si>
    <t>Specification / Model</t>
  </si>
  <si>
    <t>Category</t>
  </si>
  <si>
    <t>Used In</t>
  </si>
  <si>
    <t>Total Qty</t>
  </si>
  <si>
    <t>Unit Price (₹)</t>
  </si>
  <si>
    <t>Cost / Group (₹)</t>
  </si>
  <si>
    <t>Arduino Uno R3</t>
  </si>
  <si>
    <t>ATmega328P, 5V, 16MHz</t>
  </si>
  <si>
    <t>Microcontroller / SBC</t>
  </si>
  <si>
    <t>E1, E2, E5</t>
  </si>
  <si>
    <t>Raspberry Pi 3B+ / 4B</t>
  </si>
  <si>
    <t>MicroSD Card 16GB</t>
  </si>
  <si>
    <t>Class 10, with RPi OS pre-flashed</t>
  </si>
  <si>
    <t>E3–E7</t>
  </si>
  <si>
    <t>LoRa Module SX1276</t>
  </si>
  <si>
    <t>Ra-02, 433/868MHz, SPI interface</t>
  </si>
  <si>
    <t>Wireless Module</t>
  </si>
  <si>
    <t>XBee Series 2 Module</t>
  </si>
  <si>
    <t>ZigBee 2.4GHz, 1mW, UART</t>
  </si>
  <si>
    <t>E2</t>
  </si>
  <si>
    <t>XBee Shield for Arduino</t>
  </si>
  <si>
    <t>Compatible with Arduino Uno</t>
  </si>
  <si>
    <t>DHT11 Sensor</t>
  </si>
  <si>
    <t>Temperature: 0–50°C, Humidity: 20–90%</t>
  </si>
  <si>
    <t>Sensor</t>
  </si>
  <si>
    <t>BMP280 Module</t>
  </si>
  <si>
    <t>I2C/SPI, Pressure + Temperature</t>
  </si>
  <si>
    <t>E7</t>
  </si>
  <si>
    <t>LDR (Photoresistor)</t>
  </si>
  <si>
    <t>5mm, 10kΩ–1MΩ range</t>
  </si>
  <si>
    <t>Push Button</t>
  </si>
  <si>
    <t>Tactile, 6mm × 6mm</t>
  </si>
  <si>
    <t>Potentiometer</t>
  </si>
  <si>
    <t>10kΩ linear</t>
  </si>
  <si>
    <t>E6</t>
  </si>
  <si>
    <t>I2C LCD 16×2</t>
  </si>
  <si>
    <t>With PCF8574 I2C backpack, 5V</t>
  </si>
  <si>
    <t>Display / Output</t>
  </si>
  <si>
    <t>LED Red</t>
  </si>
  <si>
    <t>Piezo Buzzer</t>
  </si>
  <si>
    <t>Active, 5V</t>
  </si>
  <si>
    <t>MCP3008</t>
  </si>
  <si>
    <t>8-ch 10-bit ADC, SPI, DIP-16</t>
  </si>
  <si>
    <t>IC / ADC</t>
  </si>
  <si>
    <t>Resistor 330Ω</t>
  </si>
  <si>
    <t>Resistor 10kΩ</t>
  </si>
  <si>
    <t>Breadboard Full Size</t>
  </si>
  <si>
    <t>830 tie-points</t>
  </si>
  <si>
    <t>Wiring &amp; Connectivity</t>
  </si>
  <si>
    <t>E1–E7</t>
  </si>
  <si>
    <t>Jumper Wires M-M</t>
  </si>
  <si>
    <t>20cm, 40-piece set</t>
  </si>
  <si>
    <t>Jumper Wires M-F</t>
  </si>
  <si>
    <t>Jumper Wires F-F</t>
  </si>
  <si>
    <t>20cm, 20-piece set</t>
  </si>
  <si>
    <t>USB Cable Type A-B</t>
  </si>
  <si>
    <t>1m, for Arduino programming</t>
  </si>
  <si>
    <t>USB Cable Micro-B / C</t>
  </si>
  <si>
    <t>1m, for RPi power</t>
  </si>
  <si>
    <t>RPi Power Supply 5V/3A</t>
  </si>
  <si>
    <t>Official or equivalent, Micro-B or USB-C</t>
  </si>
  <si>
    <t>Power &amp; Storage</t>
  </si>
  <si>
    <t>NVIDIA Jetson Nano Dev Kit 4GB</t>
  </si>
  <si>
    <t>E8</t>
  </si>
  <si>
    <t>USB Hub (Powered)</t>
  </si>
  <si>
    <t>3D LiDAR — RPLIDAR A2 M8</t>
  </si>
  <si>
    <t>360° scan, 8m range, 8000 samples/sec, USB, ROS driver available</t>
  </si>
  <si>
    <t>LiDAR / Perception</t>
  </si>
  <si>
    <t>All</t>
  </si>
  <si>
    <t>TOTAL</t>
  </si>
  <si>
    <t>—</t>
  </si>
  <si>
    <t>IoT Lab — Components Required Per Experiment</t>
  </si>
  <si>
    <t>E1 — Arduino LoRaWAN Communication  |  Module 3 | CO3</t>
  </si>
  <si>
    <t>Aim: Demonstrate LoRaWAN Physical Layer communication and spreading factor trade-off</t>
  </si>
  <si>
    <t>Qty / Specification</t>
  </si>
  <si>
    <t>×2 — Sender node + Receiver node</t>
  </si>
  <si>
    <t>LoRa SX1276 (Ra-02)</t>
  </si>
  <si>
    <t>×2 — One per Arduino</t>
  </si>
  <si>
    <t>×1 set — SPI connection (MOSI, MISO, SCK, SS)</t>
  </si>
  <si>
    <t>Breadboard</t>
  </si>
  <si>
    <t>×2</t>
  </si>
  <si>
    <t>×2 — Programming &amp; Serial Monitor</t>
  </si>
  <si>
    <t>Antenna (if not built-in)</t>
  </si>
  <si>
    <t>×2 — 433MHz or 868MHz wire antenna</t>
  </si>
  <si>
    <t>🖥  Simulation: Wokwi — Search 'LoRa sender receiver' template. Full SPI + LoRa library simulation.</t>
  </si>
  <si>
    <t>E2 — Arduino ZigBee Communication  |  Module 3 | CO3</t>
  </si>
  <si>
    <t>Aim: Configure ZigBee network (coordinator + end device), transmit sensor data wirelessly</t>
  </si>
  <si>
    <t>×2 — Coordinator node + End Device node</t>
  </si>
  <si>
    <t>×2 — Configure via XCTU software</t>
  </si>
  <si>
    <t>×2 — Programming + Serial Monitor</t>
  </si>
  <si>
    <t>XCTU Software (free)</t>
  </si>
  <si>
    <t>1 laptop install — for XBee network configuration</t>
  </si>
  <si>
    <t>🖥  Simulation: Wokwi — Simulate ZigBee coordinator/end device behavior via UART bridge between two Arduinos.</t>
  </si>
  <si>
    <t>E3 — Raspberry Pi GPIO Interfacing  |  Module 4 | CO5</t>
  </si>
  <si>
    <t>Aim: GPIO output (LED blink), GPIO input (button with debounce), PWM (LED brightness)</t>
  </si>
  <si>
    <t>×1</t>
  </si>
  <si>
    <t>MicroSD 16GB (RPi OS)</t>
  </si>
  <si>
    <t>LED Red + Green</t>
  </si>
  <si>
    <t>×5 each — GPIO output demo</t>
  </si>
  <si>
    <t>×10 — LED current limiting</t>
  </si>
  <si>
    <t>×2 — GPIO input demo</t>
  </si>
  <si>
    <t>×2 — Pull-down for button</t>
  </si>
  <si>
    <t>Breadboard Full</t>
  </si>
  <si>
    <t>×1 set — RPi GPIO to breadboard</t>
  </si>
  <si>
    <t>🖥  Simulation: Wokwi — Use Raspberry Pi Pico. Same GPIO/Python logic. LED, button, PWM all supported.</t>
  </si>
  <si>
    <t>E4 — Raspberry Pi Sensor Interfacing  |  Module 4 | CO5</t>
  </si>
  <si>
    <t>Aim: Read DHT11 sensor, log data to CSV with timestamp, LED alert on threshold</t>
  </si>
  <si>
    <t>×1 — Temperature &amp; Humidity</t>
  </si>
  <si>
    <t>×1 — Pull-up on data pin</t>
  </si>
  <si>
    <t>×1 — Temperature alert indicator</t>
  </si>
  <si>
    <t>×1 — LED current limiting</t>
  </si>
  <si>
    <t>×1 set</t>
  </si>
  <si>
    <t>🖥  Simulation: Wokwi (RPi Pico + DHT22) OR Tinkercad (Arduino + DHT11 — same sensor, same concept).</t>
  </si>
  <si>
    <t>E5 — Raspberry Pi to Arduino Serial Communication  |  Module 4 | CO5</t>
  </si>
  <si>
    <t>Aim: Arduino sends sensor data via UART; RPi (pyserial) reads and logs; RPi sends LED commands to Arduino</t>
  </si>
  <si>
    <t>×1 — Direct RPi USB to Arduino (simplest method)</t>
  </si>
  <si>
    <t>×1 — Arduino reads and sends via serial</t>
  </si>
  <si>
    <t>×1 — Arduino responds to RPi command</t>
  </si>
  <si>
    <t>🖥  Simulation: Wokwi — Place RPi Pico + Arduino Uno on same canvas, connect TX-RX, simulate bidirectional serial.</t>
  </si>
  <si>
    <t>E6 — Raspberry Pi SPI Device Interfacing  |  Module 4 | CO5</t>
  </si>
  <si>
    <t>Aim: Enable SPI on RPi, read multiple analog channels via MCP3008 using spidev library</t>
  </si>
  <si>
    <t>MCP3008 ADC</t>
  </si>
  <si>
    <t>×1 — 8-channel 10-bit SPI ADC, DIP-16</t>
  </si>
  <si>
    <t>Potentiometer 10kΩ</t>
  </si>
  <si>
    <t>×2 — Analog input channels</t>
  </si>
  <si>
    <t>×1 — Light level analog input</t>
  </si>
  <si>
    <t>×1 — LDR voltage divider</t>
  </si>
  <si>
    <t>×1 set — RPi SPI pins to MCP3008</t>
  </si>
  <si>
    <t>🖥  Simulation: Wokwi — RPi Pico + MCP3008 + potentiometer template available.</t>
  </si>
  <si>
    <t>E8 — ROS Implementation — Jetson Nano + 3D LiDAR  |  Beyond Syllabus — Gap Topic | CO5</t>
  </si>
  <si>
    <t>Aim: Install ROS 2 on Jetson Nano, connect RPLIDAR A2, visualise 360° LiDAR scan in RViz, implement basic SLAM mapping</t>
  </si>
  <si>
    <t>×1 per 2 groups — runs Ubuntu 18.04 + ROS 2 Foxy</t>
  </si>
  <si>
    <t>RPLIDAR A2 M8 (3D LiDAR)</t>
  </si>
  <si>
    <t>×1 per 2 groups — 360° scan, USB connection</t>
  </si>
  <si>
    <t>MicroSD Card 32GB</t>
  </si>
  <si>
    <t>×1 — pre-flashed with Jetson OS</t>
  </si>
  <si>
    <t>Power Supply 5V/4A (barrel jack)</t>
  </si>
  <si>
    <t>×1 — mandatory for full GPU + LiDAR power load</t>
  </si>
  <si>
    <t>×1 — for keyboard, mouse, WiFi dongle</t>
  </si>
  <si>
    <t>WiFi Dongle</t>
  </si>
  <si>
    <t>×1 — Jetson Nano has no onboard WiFi</t>
  </si>
  <si>
    <t>HDMI Cable + Monitor</t>
  </si>
  <si>
    <t>×1 — for initial ROS desktop setup</t>
  </si>
  <si>
    <t>Laptop with Ubuntu / WSL2</t>
  </si>
  <si>
    <t>×1 — for SSH into Jetson and RViz visualization</t>
  </si>
  <si>
    <t>🖥  Simulation: Gazebo (free, runs on Ubuntu) — simulate RPLIDAR in virtual environment. RViz shows point cloud. No Jetson needed for simulation path.</t>
  </si>
  <si>
    <t>E7 — Raspberry Pi I2C Device Interfacing  |  Module 4 | CO5</t>
  </si>
  <si>
    <t>Aim: Enable I2C, scan bus (i2cdetect), display BMP280 sensor readings on LCD 16×2</t>
  </si>
  <si>
    <t>I2C LCD 16×2 (PCF8574)</t>
  </si>
  <si>
    <t>×1 — I2C address 0x27 or 0x3F</t>
  </si>
  <si>
    <t>BMP280 Sensor Module</t>
  </si>
  <si>
    <t>×1 — Pressure + Temperature, I2C address 0x76</t>
  </si>
  <si>
    <t>×1 set — SDA, SCL, VCC, GND</t>
  </si>
  <si>
    <t>×1 set — For module-to-module if needed</t>
  </si>
  <si>
    <t>🖥  Simulation: Wokwi — I2C LCD 16×2 + BMP280 both in component library. Run i2cdetect scan in code.</t>
  </si>
  <si>
    <t>IoT Lab — Software &amp; Simulation Tools (All Free)</t>
  </si>
  <si>
    <t>Tool / Software</t>
  </si>
  <si>
    <t>Platform</t>
  </si>
  <si>
    <t>URL</t>
  </si>
  <si>
    <t>Purpose</t>
  </si>
  <si>
    <t>Wokwi Simulator</t>
  </si>
  <si>
    <t>Browser (any)</t>
  </si>
  <si>
    <t>https://wokwi.com</t>
  </si>
  <si>
    <t>Primary simulation — Arduino + RPi Pico. LoRa, I2C, SPI, UART, sensors all supported</t>
  </si>
  <si>
    <t>Tinkercad Circuits</t>
  </si>
  <si>
    <t>E3, E4</t>
  </si>
  <si>
    <t>https://www.tinkercad.com</t>
  </si>
  <si>
    <t>Arduino + DHT11, LDR, LED, button — backup simulation for GPIO &amp; sensor experiments</t>
  </si>
  <si>
    <t>Arduino IDE 2.x</t>
  </si>
  <si>
    <t>Windows/Mac/Linux</t>
  </si>
  <si>
    <t>https://www.arduino.cc/en/software</t>
  </si>
  <si>
    <t>Arduino code upload + Serial Monitor</t>
  </si>
  <si>
    <t>Raspberry Pi OS</t>
  </si>
  <si>
    <t>RPi MicroSD</t>
  </si>
  <si>
    <t>https://www.raspberrypi.com/software</t>
  </si>
  <si>
    <t>Official OS for RPi — includes Python 3, Thonny IDE, terminal</t>
  </si>
  <si>
    <t>Thonny IDE</t>
  </si>
  <si>
    <t>https://thonny.org</t>
  </si>
  <si>
    <t>Beginner-friendly Python IDE with RPi GPIO support</t>
  </si>
  <si>
    <t>VS Code</t>
  </si>
  <si>
    <t>https://code.visualstudio.com</t>
  </si>
  <si>
    <t>Advanced code editor with Python extension — alternative to Thonny</t>
  </si>
  <si>
    <t>XCTU</t>
  </si>
  <si>
    <t>https://hub.digi.com/dp/path=/support/asset/xctu/</t>
  </si>
  <si>
    <t>Digi XBee configuration tool — configure coordinator and end device roles</t>
  </si>
  <si>
    <t>Wireshark</t>
  </si>
  <si>
    <t>E1, E2, E3</t>
  </si>
  <si>
    <t>https://www.wireshark.org</t>
  </si>
  <si>
    <t>Capture and analyse MQTT, UDP, TCP packets — good for Module 3 protocol analysis</t>
  </si>
  <si>
    <t>MQTT Explorer</t>
  </si>
  <si>
    <t>E3–E5</t>
  </si>
  <si>
    <t>https://mqtt-explorer.com</t>
  </si>
  <si>
    <t>Visual MQTT broker client — see topics, messages, retained data in real time</t>
  </si>
  <si>
    <t>HiveMQ Public Broker</t>
  </si>
  <si>
    <t>Browser / Cloud</t>
  </si>
  <si>
    <t>https://broker.hivemq.com</t>
  </si>
  <si>
    <t>Free public MQTT broker — no account, use broker.hivemq.com:1883</t>
  </si>
  <si>
    <t>RPi.GPIO</t>
  </si>
  <si>
    <t>pip (RPi)</t>
  </si>
  <si>
    <t>pip install RPi.GPIO</t>
  </si>
  <si>
    <t>GPIO control on Raspberry Pi</t>
  </si>
  <si>
    <t>adafruit-circuitpython-dht</t>
  </si>
  <si>
    <t>pip (RPi/Pico)</t>
  </si>
  <si>
    <t>E4</t>
  </si>
  <si>
    <t>pip install adafruit-dht</t>
  </si>
  <si>
    <t>DHT11/DHT22 sensor library</t>
  </si>
  <si>
    <t>spidev</t>
  </si>
  <si>
    <t>pip install spidev</t>
  </si>
  <si>
    <t>SPI communication — for MCP3008</t>
  </si>
  <si>
    <t>smbus2</t>
  </si>
  <si>
    <t>pip install smbus2</t>
  </si>
  <si>
    <t>I2C communication — for BMP280, LCD</t>
  </si>
  <si>
    <t>RPLCD</t>
  </si>
  <si>
    <t>pip install RPLCD</t>
  </si>
  <si>
    <t>I2C LCD 16x2 display library</t>
  </si>
  <si>
    <t>pyserial</t>
  </si>
  <si>
    <t>pip (any)</t>
  </si>
  <si>
    <t>E5</t>
  </si>
  <si>
    <t>pip install pyserial</t>
  </si>
  <si>
    <t>Serial communication between RPi and Arduino</t>
  </si>
  <si>
    <t>paho-mqtt</t>
  </si>
  <si>
    <t>pip install paho-mqtt</t>
  </si>
  <si>
    <t>MQTT publish/subscribe in Python</t>
  </si>
  <si>
    <t>matplotlib</t>
  </si>
  <si>
    <t>pip install matplotlib</t>
  </si>
  <si>
    <t>Real-time data plotting for sensor dashboards</t>
  </si>
  <si>
    <t>ROS 2 Foxy / Humble</t>
  </si>
  <si>
    <t>Ubuntu 20.04/22.04</t>
  </si>
  <si>
    <t>https://docs.ros.org/en/foxy/Installation.html</t>
  </si>
  <si>
    <t>Robot Operating System — install on Jetson Nano (Foxy) or Ubuntu laptop (Humble)</t>
  </si>
  <si>
    <t>rplidar_ros Package</t>
  </si>
  <si>
    <t>ROS 2 package</t>
  </si>
  <si>
    <t>sudo apt install ros-foxy-rplidar-ros</t>
  </si>
  <si>
    <t>Official ROS driver for RPLIDAR A1/A2/A3 — publishes /scan topic</t>
  </si>
  <si>
    <t>RViz2</t>
  </si>
  <si>
    <t>Ubuntu (ROS 2)</t>
  </si>
  <si>
    <t>Included with ROS 2 desktop install</t>
  </si>
  <si>
    <t>3D visualization tool — view LiDAR point cloud, robot model, SLAM map</t>
  </si>
  <si>
    <t>Gazebo 11</t>
  </si>
  <si>
    <t>Ubuntu (free)</t>
  </si>
  <si>
    <t>https://gazebosim.org</t>
  </si>
  <si>
    <t>ROS physics simulator — simulate RPLIDAR, robot chassis, environment without hardware</t>
  </si>
  <si>
    <t>slam_toolbox</t>
  </si>
  <si>
    <t>sudo apt install ros-foxy-slam-toolbox</t>
  </si>
  <si>
    <t>2D SLAM mapping using LiDAR scan — builds occupancy grid map in real time</t>
  </si>
  <si>
    <t>Nav2 (Navigation 2)</t>
  </si>
  <si>
    <t>sudo apt install ros-foxy-navigation2</t>
  </si>
  <si>
    <t>Autonomous navigation stack — path planning, obstacle avoidance using LiDAR</t>
  </si>
  <si>
    <t>Jetson SDK Manager</t>
  </si>
  <si>
    <t>Ubuntu host PC</t>
  </si>
  <si>
    <t>https://developer.nvidia.com/sdk-manager</t>
  </si>
  <si>
    <t>Flash JetPack OS to Jetson Nano MicroSD via host Ubuntu PC</t>
  </si>
  <si>
    <t>JetPack SDK 4.6</t>
  </si>
  <si>
    <t>Jetson Nano OS</t>
  </si>
  <si>
    <t>Included in SDK Manager</t>
  </si>
  <si>
    <t>Ubuntu 18.04 + CUDA + cuDNN + TensorRT — base OS for Jetson Nano with GPU support</t>
  </si>
  <si>
    <t>Raspberry Pi 5</t>
  </si>
  <si>
    <t>1.4GHz, 4GB RAM, 40-pin GPIO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</si>
</sst>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1F4E79"/>
      <name val="Arial"/>
      <family val="2"/>
    </font>
    <font>
      <b/>
      <sz val="9"/>
      <color rgb="FF2E7D32"/>
      <name val="Arial"/>
      <family val="2"/>
    </font>
    <font>
      <sz val="9"/>
      <color rgb="FF7B1FA2"/>
      <name val="Arial"/>
      <family val="2"/>
    </font>
    <font>
      <i/>
      <sz val="8"/>
      <color rgb="FF666666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i/>
      <sz val="9"/>
      <color rgb="FF333333"/>
      <name val="Arial"/>
      <family val="2"/>
    </font>
    <font>
      <b/>
      <sz val="9"/>
      <color rgb="FF555555"/>
      <name val="Arial"/>
      <family val="2"/>
    </font>
    <font>
      <i/>
      <sz val="9"/>
      <color rgb="FF6A1B9A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1F4E79"/>
        <bgColor rgb="FF00695C"/>
      </patternFill>
    </fill>
    <fill>
      <patternFill patternType="solid">
        <fgColor rgb="FF2E74B5"/>
        <bgColor rgb="FF1565C0"/>
      </patternFill>
    </fill>
    <fill>
      <patternFill patternType="solid">
        <fgColor rgb="FFE3F2FD"/>
        <bgColor rgb="FFE0F7FA"/>
      </patternFill>
    </fill>
    <fill>
      <patternFill patternType="solid">
        <fgColor rgb="FFF3E5F5"/>
        <bgColor rgb="FFEDE7F6"/>
      </patternFill>
    </fill>
    <fill>
      <patternFill patternType="solid">
        <fgColor rgb="FFE8F5E9"/>
        <bgColor rgb="FFF1F8E9"/>
      </patternFill>
    </fill>
    <fill>
      <patternFill patternType="solid">
        <fgColor rgb="FFFFF9C4"/>
        <bgColor rgb="FFFFF3E0"/>
      </patternFill>
    </fill>
    <fill>
      <patternFill patternType="solid">
        <fgColor rgb="FFFCE4EC"/>
        <bgColor rgb="FFF3E5F5"/>
      </patternFill>
    </fill>
    <fill>
      <patternFill patternType="solid">
        <fgColor rgb="FFF1F8E9"/>
        <bgColor rgb="FFF9FBE7"/>
      </patternFill>
    </fill>
    <fill>
      <patternFill patternType="solid">
        <fgColor rgb="FFFFF3E0"/>
        <bgColor rgb="FFF9FBE7"/>
      </patternFill>
    </fill>
    <fill>
      <patternFill patternType="solid">
        <fgColor rgb="FFE0F7FA"/>
        <bgColor rgb="FFE3F2FD"/>
      </patternFill>
    </fill>
    <fill>
      <patternFill patternType="solid">
        <fgColor rgb="FFEDE7F6"/>
        <bgColor rgb="FFE8EAF6"/>
      </patternFill>
    </fill>
    <fill>
      <patternFill patternType="solid">
        <fgColor rgb="FFE8EAF6"/>
        <bgColor rgb="FFEDE7F6"/>
      </patternFill>
    </fill>
    <fill>
      <patternFill patternType="solid">
        <fgColor rgb="FF1565C0"/>
        <bgColor rgb="FF2E74B5"/>
      </patternFill>
    </fill>
    <fill>
      <patternFill patternType="solid">
        <fgColor rgb="FFFFFFFF"/>
        <bgColor rgb="FFF9FBE7"/>
      </patternFill>
    </fill>
    <fill>
      <patternFill patternType="solid">
        <fgColor rgb="FF6A1B9A"/>
        <bgColor rgb="FF7B1FA2"/>
      </patternFill>
    </fill>
    <fill>
      <patternFill patternType="solid">
        <fgColor rgb="FF2E7D32"/>
        <bgColor rgb="FF33691E"/>
      </patternFill>
    </fill>
    <fill>
      <patternFill patternType="solid">
        <fgColor rgb="FFF57F17"/>
        <bgColor rgb="FFFF9900"/>
      </patternFill>
    </fill>
    <fill>
      <patternFill patternType="solid">
        <fgColor rgb="FFAD1457"/>
        <bgColor rgb="FF993366"/>
      </patternFill>
    </fill>
    <fill>
      <patternFill patternType="solid">
        <fgColor rgb="FF33691E"/>
        <bgColor rgb="FF2E7D32"/>
      </patternFill>
    </fill>
    <fill>
      <patternFill patternType="solid">
        <fgColor rgb="FF4527A0"/>
        <bgColor rgb="FF6A1B9A"/>
      </patternFill>
    </fill>
    <fill>
      <patternFill patternType="solid">
        <fgColor rgb="FF00695C"/>
        <bgColor rgb="FF008080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1" fillId="7" borderId="0" xfId="0" applyFont="1" applyFill="1" applyAlignment="1">
      <alignment horizontal="left" vertical="center" wrapText="1"/>
    </xf>
    <xf numFmtId="0" fontId="10" fillId="18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left" vertical="center" wrapText="1"/>
    </xf>
    <xf numFmtId="0" fontId="10" fillId="17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10" fillId="16" borderId="0" xfId="0" applyFont="1" applyFill="1" applyAlignment="1">
      <alignment horizontal="center" vertical="center" wrapText="1"/>
    </xf>
    <xf numFmtId="0" fontId="13" fillId="5" borderId="3" xfId="0" applyFont="1" applyFill="1" applyBorder="1" applyAlignment="1">
      <alignment horizontal="left" vertical="center" wrapText="1"/>
    </xf>
    <xf numFmtId="0" fontId="11" fillId="4" borderId="0" xfId="0" applyFont="1" applyFill="1" applyAlignment="1">
      <alignment horizontal="left" vertical="center" wrapText="1"/>
    </xf>
    <xf numFmtId="0" fontId="10" fillId="14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3" fontId="4" fillId="5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3" fontId="4" fillId="6" borderId="2" xfId="0" applyNumberFormat="1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6" fillId="7" borderId="2" xfId="0" applyFont="1" applyFill="1" applyBorder="1" applyAlignment="1">
      <alignment horizontal="center" vertical="center" wrapText="1"/>
    </xf>
    <xf numFmtId="3" fontId="4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left" vertical="center" wrapText="1"/>
    </xf>
    <xf numFmtId="3" fontId="4" fillId="8" borderId="2" xfId="0" applyNumberFormat="1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4" fillId="9" borderId="2" xfId="0" applyFont="1" applyFill="1" applyBorder="1" applyAlignment="1">
      <alignment horizontal="left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4" fillId="10" borderId="2" xfId="0" applyFont="1" applyFill="1" applyBorder="1" applyAlignment="1">
      <alignment horizontal="left" vertical="center" wrapText="1"/>
    </xf>
    <xf numFmtId="3" fontId="4" fillId="10" borderId="2" xfId="0" applyNumberFormat="1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left" vertical="center" wrapText="1"/>
    </xf>
    <xf numFmtId="3" fontId="4" fillId="11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4" fillId="13" borderId="2" xfId="0" applyFont="1" applyFill="1" applyBorder="1" applyAlignment="1">
      <alignment horizontal="left" vertical="center" wrapText="1"/>
    </xf>
    <xf numFmtId="3" fontId="4" fillId="13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left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12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12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0" fillId="19" borderId="0" xfId="0" applyFont="1" applyFill="1" applyAlignment="1">
      <alignment horizontal="center" vertical="center" wrapText="1"/>
    </xf>
    <xf numFmtId="0" fontId="11" fillId="8" borderId="0" xfId="0" applyFont="1" applyFill="1" applyAlignment="1">
      <alignment horizontal="left" vertical="center" wrapText="1"/>
    </xf>
    <xf numFmtId="0" fontId="10" fillId="20" borderId="0" xfId="0" applyFont="1" applyFill="1" applyAlignment="1">
      <alignment horizontal="center" vertical="center" wrapText="1"/>
    </xf>
    <xf numFmtId="0" fontId="11" fillId="9" borderId="0" xfId="0" applyFont="1" applyFill="1" applyAlignment="1">
      <alignment horizontal="left" vertical="center" wrapText="1"/>
    </xf>
    <xf numFmtId="0" fontId="10" fillId="21" borderId="0" xfId="0" applyFont="1" applyFill="1" applyAlignment="1">
      <alignment horizontal="center" vertical="center" wrapText="1"/>
    </xf>
    <xf numFmtId="0" fontId="11" fillId="12" borderId="0" xfId="0" applyFont="1" applyFill="1" applyAlignment="1">
      <alignment horizontal="left" vertical="center" wrapText="1"/>
    </xf>
    <xf numFmtId="0" fontId="10" fillId="22" borderId="0" xfId="0" applyFont="1" applyFill="1" applyAlignment="1">
      <alignment horizontal="center" vertical="center" wrapText="1"/>
    </xf>
    <xf numFmtId="0" fontId="11" fillId="11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BE7"/>
      <rgbColor rgb="FFFF00FF"/>
      <rgbColor rgb="FF00FFFF"/>
      <rgbColor rgb="FF800000"/>
      <rgbColor rgb="FF33691E"/>
      <rgbColor rgb="FF000080"/>
      <rgbColor rgb="FF808000"/>
      <rgbColor rgb="FF6A1B9A"/>
      <rgbColor rgb="FF00695C"/>
      <rgbColor rgb="FFCCCCCC"/>
      <rgbColor rgb="FF808080"/>
      <rgbColor rgb="FF9999FF"/>
      <rgbColor rgb="FFAD1457"/>
      <rgbColor rgb="FFFFF9C4"/>
      <rgbColor rgb="FFE0F7FA"/>
      <rgbColor rgb="FF660066"/>
      <rgbColor rgb="FFFF8080"/>
      <rgbColor rgb="FF1565C0"/>
      <rgbColor rgb="FFEDE7F6"/>
      <rgbColor rgb="FF000080"/>
      <rgbColor rgb="FFFF00FF"/>
      <rgbColor rgb="FFFFFF00"/>
      <rgbColor rgb="FF00FFFF"/>
      <rgbColor rgb="FF7B1FA2"/>
      <rgbColor rgb="FF800000"/>
      <rgbColor rgb="FF008080"/>
      <rgbColor rgb="FF0000FF"/>
      <rgbColor rgb="FF00CCFF"/>
      <rgbColor rgb="FFE3F2FD"/>
      <rgbColor rgb="FFE8F5E9"/>
      <rgbColor rgb="FFFFF3E0"/>
      <rgbColor rgb="FFE8EAF6"/>
      <rgbColor rgb="FFF3E5F5"/>
      <rgbColor rgb="FFF1F8E9"/>
      <rgbColor rgb="FFFCE4EC"/>
      <rgbColor rgb="FF2E74B5"/>
      <rgbColor rgb="FF33CCCC"/>
      <rgbColor rgb="FF99CC00"/>
      <rgbColor rgb="FFFFCC00"/>
      <rgbColor rgb="FFFF9900"/>
      <rgbColor rgb="FFF57F17"/>
      <rgbColor rgb="FF666666"/>
      <rgbColor rgb="FF969696"/>
      <rgbColor rgb="FF1F4E79"/>
      <rgbColor rgb="FF2E7D32"/>
      <rgbColor rgb="FF003300"/>
      <rgbColor rgb="FF555555"/>
      <rgbColor rgb="FFBF360C"/>
      <rgbColor rgb="FF993366"/>
      <rgbColor rgb="FF4527A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showGridLines="0" tabSelected="1" zoomScaleNormal="100" workbookViewId="0">
      <pane ySplit="3" topLeftCell="A4" activePane="bottomLeft" state="frozen"/>
      <selection pane="bottomLeft" activeCell="E33" sqref="E33"/>
    </sheetView>
  </sheetViews>
  <sheetFormatPr baseColWidth="10" defaultColWidth="8.6640625" defaultRowHeight="15" x14ac:dyDescent="0.2"/>
  <cols>
    <col min="1" max="1" width="4" customWidth="1"/>
    <col min="2" max="2" width="26" customWidth="1"/>
    <col min="3" max="3" width="28" customWidth="1"/>
    <col min="4" max="4" width="20" customWidth="1"/>
    <col min="5" max="5" width="9" customWidth="1"/>
    <col min="6" max="6" width="13" customWidth="1"/>
    <col min="7" max="7" width="14" customWidth="1"/>
  </cols>
  <sheetData>
    <row r="1" spans="1:7" ht="27.75" customHeight="1" x14ac:dyDescent="0.2">
      <c r="A1" s="14" t="s">
        <v>0</v>
      </c>
      <c r="B1" s="14"/>
      <c r="C1" s="14"/>
      <c r="D1" s="14"/>
      <c r="E1" s="14"/>
      <c r="F1" s="14"/>
      <c r="G1" s="14"/>
    </row>
    <row r="2" spans="1:7" ht="18" customHeight="1" thickBot="1" x14ac:dyDescent="0.25">
      <c r="A2" s="13"/>
      <c r="B2" s="13"/>
      <c r="C2" s="13"/>
      <c r="D2" s="13"/>
      <c r="E2" s="13"/>
      <c r="F2" s="13"/>
      <c r="G2" s="13"/>
    </row>
    <row r="3" spans="1:7" ht="31.5" customHeight="1" thickBot="1" x14ac:dyDescent="0.25">
      <c r="A3" s="15" t="s">
        <v>1</v>
      </c>
      <c r="B3" s="15" t="s">
        <v>2</v>
      </c>
      <c r="C3" s="15" t="s">
        <v>3</v>
      </c>
      <c r="D3" s="15" t="s">
        <v>4</v>
      </c>
      <c r="E3" s="15" t="s">
        <v>6</v>
      </c>
      <c r="F3" s="15" t="s">
        <v>7</v>
      </c>
      <c r="G3" s="15" t="s">
        <v>8</v>
      </c>
    </row>
    <row r="4" spans="1:7" x14ac:dyDescent="0.2">
      <c r="A4" s="16">
        <v>1</v>
      </c>
      <c r="B4" s="17" t="s">
        <v>9</v>
      </c>
      <c r="C4" s="18" t="s">
        <v>10</v>
      </c>
      <c r="D4" s="18" t="s">
        <v>11</v>
      </c>
      <c r="E4" s="19">
        <v>2</v>
      </c>
      <c r="F4" s="20">
        <v>500</v>
      </c>
      <c r="G4" s="20">
        <f>E4*F4</f>
        <v>1000</v>
      </c>
    </row>
    <row r="5" spans="1:7" x14ac:dyDescent="0.2">
      <c r="A5" s="16">
        <v>2</v>
      </c>
      <c r="B5" s="17" t="s">
        <v>259</v>
      </c>
      <c r="C5" s="18" t="s">
        <v>260</v>
      </c>
      <c r="D5" s="18" t="s">
        <v>11</v>
      </c>
      <c r="E5" s="19">
        <v>5</v>
      </c>
      <c r="F5" s="20">
        <v>8000</v>
      </c>
      <c r="G5" s="20">
        <f t="shared" ref="G5:G25" si="0">E5*F5</f>
        <v>40000</v>
      </c>
    </row>
    <row r="6" spans="1:7" x14ac:dyDescent="0.2">
      <c r="A6" s="16">
        <v>3</v>
      </c>
      <c r="B6" s="17" t="s">
        <v>14</v>
      </c>
      <c r="C6" s="18" t="s">
        <v>15</v>
      </c>
      <c r="D6" s="18" t="s">
        <v>11</v>
      </c>
      <c r="E6" s="19">
        <v>1</v>
      </c>
      <c r="F6" s="20">
        <v>250</v>
      </c>
      <c r="G6" s="20">
        <f t="shared" si="0"/>
        <v>250</v>
      </c>
    </row>
    <row r="7" spans="1:7" x14ac:dyDescent="0.2">
      <c r="A7" s="22">
        <v>4</v>
      </c>
      <c r="B7" s="23" t="s">
        <v>17</v>
      </c>
      <c r="C7" s="24" t="s">
        <v>18</v>
      </c>
      <c r="D7" s="24" t="s">
        <v>19</v>
      </c>
      <c r="E7" s="25">
        <v>2</v>
      </c>
      <c r="F7" s="26">
        <v>1000</v>
      </c>
      <c r="G7" s="20">
        <f t="shared" si="0"/>
        <v>2000</v>
      </c>
    </row>
    <row r="8" spans="1:7" x14ac:dyDescent="0.2">
      <c r="A8" s="22">
        <v>5</v>
      </c>
      <c r="B8" s="23" t="s">
        <v>20</v>
      </c>
      <c r="C8" s="24" t="s">
        <v>21</v>
      </c>
      <c r="D8" s="24" t="s">
        <v>19</v>
      </c>
      <c r="E8" s="25">
        <v>2</v>
      </c>
      <c r="F8" s="26">
        <v>2500</v>
      </c>
      <c r="G8" s="20">
        <f t="shared" si="0"/>
        <v>5000</v>
      </c>
    </row>
    <row r="9" spans="1:7" x14ac:dyDescent="0.2">
      <c r="A9" s="22">
        <v>6</v>
      </c>
      <c r="B9" s="23" t="s">
        <v>23</v>
      </c>
      <c r="C9" s="24" t="s">
        <v>24</v>
      </c>
      <c r="D9" s="24" t="s">
        <v>19</v>
      </c>
      <c r="E9" s="25">
        <v>2</v>
      </c>
      <c r="F9" s="26">
        <v>1000</v>
      </c>
      <c r="G9" s="20">
        <f t="shared" si="0"/>
        <v>2000</v>
      </c>
    </row>
    <row r="10" spans="1:7" ht="26" x14ac:dyDescent="0.2">
      <c r="A10" s="28">
        <v>7</v>
      </c>
      <c r="B10" s="29" t="s">
        <v>25</v>
      </c>
      <c r="C10" s="30" t="s">
        <v>26</v>
      </c>
      <c r="D10" s="30" t="s">
        <v>27</v>
      </c>
      <c r="E10" s="31">
        <v>2</v>
      </c>
      <c r="F10" s="32">
        <v>200</v>
      </c>
      <c r="G10" s="20">
        <f t="shared" si="0"/>
        <v>400</v>
      </c>
    </row>
    <row r="11" spans="1:7" x14ac:dyDescent="0.2">
      <c r="A11" s="28">
        <v>8</v>
      </c>
      <c r="B11" s="29" t="s">
        <v>28</v>
      </c>
      <c r="C11" s="30" t="s">
        <v>29</v>
      </c>
      <c r="D11" s="30" t="s">
        <v>27</v>
      </c>
      <c r="E11" s="31">
        <v>2</v>
      </c>
      <c r="F11" s="32">
        <v>200</v>
      </c>
      <c r="G11" s="20">
        <f t="shared" si="0"/>
        <v>400</v>
      </c>
    </row>
    <row r="12" spans="1:7" x14ac:dyDescent="0.2">
      <c r="A12" s="28">
        <v>9</v>
      </c>
      <c r="B12" s="29" t="s">
        <v>31</v>
      </c>
      <c r="C12" s="30" t="s">
        <v>32</v>
      </c>
      <c r="D12" s="30" t="s">
        <v>27</v>
      </c>
      <c r="E12" s="31">
        <v>2</v>
      </c>
      <c r="F12" s="32">
        <v>15</v>
      </c>
      <c r="G12" s="20">
        <f t="shared" si="0"/>
        <v>30</v>
      </c>
    </row>
    <row r="13" spans="1:7" x14ac:dyDescent="0.2">
      <c r="A13" s="28">
        <v>10</v>
      </c>
      <c r="B13" s="29" t="s">
        <v>33</v>
      </c>
      <c r="C13" s="30" t="s">
        <v>34</v>
      </c>
      <c r="D13" s="30" t="s">
        <v>27</v>
      </c>
      <c r="E13" s="31">
        <v>2</v>
      </c>
      <c r="F13" s="32">
        <v>10</v>
      </c>
      <c r="G13" s="20">
        <f t="shared" si="0"/>
        <v>20</v>
      </c>
    </row>
    <row r="14" spans="1:7" x14ac:dyDescent="0.2">
      <c r="A14" s="28">
        <v>11</v>
      </c>
      <c r="B14" s="29" t="s">
        <v>35</v>
      </c>
      <c r="C14" s="30" t="s">
        <v>36</v>
      </c>
      <c r="D14" s="30" t="s">
        <v>27</v>
      </c>
      <c r="E14" s="31">
        <v>2</v>
      </c>
      <c r="F14" s="32">
        <v>25</v>
      </c>
      <c r="G14" s="20">
        <f t="shared" si="0"/>
        <v>50</v>
      </c>
    </row>
    <row r="15" spans="1:7" x14ac:dyDescent="0.2">
      <c r="A15" s="34">
        <v>12</v>
      </c>
      <c r="B15" s="35" t="s">
        <v>38</v>
      </c>
      <c r="C15" s="36" t="s">
        <v>39</v>
      </c>
      <c r="D15" s="36" t="s">
        <v>40</v>
      </c>
      <c r="E15" s="37">
        <v>2</v>
      </c>
      <c r="F15" s="38">
        <v>200</v>
      </c>
      <c r="G15" s="20">
        <f t="shared" si="0"/>
        <v>400</v>
      </c>
    </row>
    <row r="16" spans="1:7" x14ac:dyDescent="0.2">
      <c r="A16" s="34">
        <v>15</v>
      </c>
      <c r="B16" s="35" t="s">
        <v>42</v>
      </c>
      <c r="C16" s="36" t="s">
        <v>43</v>
      </c>
      <c r="D16" s="36" t="s">
        <v>40</v>
      </c>
      <c r="E16" s="37">
        <v>2</v>
      </c>
      <c r="F16" s="38">
        <v>25</v>
      </c>
      <c r="G16" s="20">
        <f t="shared" si="0"/>
        <v>50</v>
      </c>
    </row>
    <row r="17" spans="1:7" x14ac:dyDescent="0.2">
      <c r="A17" s="40">
        <v>16</v>
      </c>
      <c r="B17" s="41" t="s">
        <v>44</v>
      </c>
      <c r="C17" s="42" t="s">
        <v>45</v>
      </c>
      <c r="D17" s="42" t="s">
        <v>46</v>
      </c>
      <c r="E17" s="37">
        <v>2</v>
      </c>
      <c r="F17" s="43">
        <v>200</v>
      </c>
      <c r="G17" s="20">
        <f t="shared" si="0"/>
        <v>400</v>
      </c>
    </row>
    <row r="18" spans="1:7" x14ac:dyDescent="0.2">
      <c r="A18" s="49">
        <v>20</v>
      </c>
      <c r="B18" s="50" t="s">
        <v>49</v>
      </c>
      <c r="C18" s="51" t="s">
        <v>50</v>
      </c>
      <c r="D18" s="51" t="s">
        <v>51</v>
      </c>
      <c r="E18" s="37">
        <v>5</v>
      </c>
      <c r="F18" s="52">
        <v>120</v>
      </c>
      <c r="G18" s="20">
        <f t="shared" si="0"/>
        <v>600</v>
      </c>
    </row>
    <row r="19" spans="1:7" x14ac:dyDescent="0.2">
      <c r="A19" s="49">
        <v>21</v>
      </c>
      <c r="B19" s="50" t="s">
        <v>53</v>
      </c>
      <c r="C19" s="51" t="s">
        <v>54</v>
      </c>
      <c r="D19" s="51" t="s">
        <v>51</v>
      </c>
      <c r="E19" s="37">
        <v>1</v>
      </c>
      <c r="F19" s="52">
        <v>200</v>
      </c>
      <c r="G19" s="20">
        <f t="shared" si="0"/>
        <v>200</v>
      </c>
    </row>
    <row r="20" spans="1:7" x14ac:dyDescent="0.2">
      <c r="A20" s="49">
        <v>22</v>
      </c>
      <c r="B20" s="50" t="s">
        <v>55</v>
      </c>
      <c r="C20" s="51" t="s">
        <v>54</v>
      </c>
      <c r="D20" s="51" t="s">
        <v>51</v>
      </c>
      <c r="E20" s="37">
        <v>1</v>
      </c>
      <c r="F20" s="52">
        <v>200</v>
      </c>
      <c r="G20" s="20">
        <f t="shared" si="0"/>
        <v>200</v>
      </c>
    </row>
    <row r="21" spans="1:7" x14ac:dyDescent="0.2">
      <c r="A21" s="49">
        <v>23</v>
      </c>
      <c r="B21" s="50" t="s">
        <v>56</v>
      </c>
      <c r="C21" s="51" t="s">
        <v>57</v>
      </c>
      <c r="D21" s="51" t="s">
        <v>51</v>
      </c>
      <c r="E21" s="37">
        <v>1</v>
      </c>
      <c r="F21" s="52">
        <v>200</v>
      </c>
      <c r="G21" s="20">
        <f t="shared" si="0"/>
        <v>200</v>
      </c>
    </row>
    <row r="22" spans="1:7" x14ac:dyDescent="0.2">
      <c r="A22" s="49">
        <v>24</v>
      </c>
      <c r="B22" s="50" t="s">
        <v>58</v>
      </c>
      <c r="C22" s="51" t="s">
        <v>59</v>
      </c>
      <c r="D22" s="51" t="s">
        <v>51</v>
      </c>
      <c r="E22" s="37">
        <v>5</v>
      </c>
      <c r="F22" s="52">
        <v>120</v>
      </c>
      <c r="G22" s="20">
        <f t="shared" si="0"/>
        <v>600</v>
      </c>
    </row>
    <row r="23" spans="1:7" x14ac:dyDescent="0.2">
      <c r="A23" s="49">
        <v>25</v>
      </c>
      <c r="B23" s="50" t="s">
        <v>60</v>
      </c>
      <c r="C23" s="51" t="s">
        <v>61</v>
      </c>
      <c r="D23" s="51" t="s">
        <v>51</v>
      </c>
      <c r="E23" s="37">
        <v>2</v>
      </c>
      <c r="F23" s="52">
        <v>120</v>
      </c>
      <c r="G23" s="20">
        <f t="shared" si="0"/>
        <v>240</v>
      </c>
    </row>
    <row r="24" spans="1:7" ht="26" x14ac:dyDescent="0.2">
      <c r="A24" s="53">
        <v>26</v>
      </c>
      <c r="B24" s="54" t="s">
        <v>62</v>
      </c>
      <c r="C24" s="55" t="s">
        <v>63</v>
      </c>
      <c r="D24" s="55" t="s">
        <v>64</v>
      </c>
      <c r="E24" s="37">
        <v>1</v>
      </c>
      <c r="F24" s="56">
        <v>500</v>
      </c>
      <c r="G24" s="20">
        <f t="shared" si="0"/>
        <v>500</v>
      </c>
    </row>
    <row r="25" spans="1:7" ht="39" x14ac:dyDescent="0.2">
      <c r="A25" s="59">
        <v>34</v>
      </c>
      <c r="B25" s="60" t="s">
        <v>68</v>
      </c>
      <c r="C25" s="61" t="s">
        <v>69</v>
      </c>
      <c r="D25" s="61" t="s">
        <v>70</v>
      </c>
      <c r="E25" s="37">
        <v>1</v>
      </c>
      <c r="F25" s="62">
        <v>13000</v>
      </c>
      <c r="G25" s="20">
        <f t="shared" si="0"/>
        <v>13000</v>
      </c>
    </row>
    <row r="26" spans="1:7" ht="19.5" customHeight="1" x14ac:dyDescent="0.2">
      <c r="A26" s="12" t="s">
        <v>72</v>
      </c>
      <c r="B26" s="12"/>
      <c r="C26" s="12"/>
      <c r="D26" s="12"/>
      <c r="E26" s="63">
        <f>SUM(E4:E25)</f>
        <v>47</v>
      </c>
      <c r="F26" s="63" t="s">
        <v>73</v>
      </c>
      <c r="G26" s="64">
        <f>SUM(G4:G25)</f>
        <v>67540</v>
      </c>
    </row>
    <row r="27" spans="1:7" ht="15.75" customHeight="1" x14ac:dyDescent="0.2">
      <c r="A27" s="11"/>
      <c r="B27" s="11"/>
      <c r="C27" s="11"/>
      <c r="D27" s="11"/>
      <c r="E27" s="11"/>
      <c r="F27" s="11"/>
      <c r="G27" s="11"/>
    </row>
  </sheetData>
  <mergeCells count="4">
    <mergeCell ref="A1:G1"/>
    <mergeCell ref="A2:G2"/>
    <mergeCell ref="A26:D26"/>
    <mergeCell ref="A27:G2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6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38" customWidth="1"/>
    <col min="3" max="3" width="30" customWidth="1"/>
    <col min="4" max="5" width="18" customWidth="1"/>
    <col min="6" max="6" width="12" customWidth="1"/>
    <col min="7" max="7" width="35" customWidth="1"/>
  </cols>
  <sheetData>
    <row r="1" spans="1:7" ht="25.5" customHeight="1" x14ac:dyDescent="0.2">
      <c r="A1" s="10" t="s">
        <v>74</v>
      </c>
      <c r="B1" s="10"/>
      <c r="C1" s="10"/>
      <c r="D1" s="10"/>
      <c r="E1" s="10"/>
      <c r="F1" s="10"/>
      <c r="G1" s="10"/>
    </row>
    <row r="2" spans="1:7" ht="21.75" customHeight="1" x14ac:dyDescent="0.2">
      <c r="A2" s="9" t="s">
        <v>75</v>
      </c>
      <c r="B2" s="9"/>
      <c r="C2" s="9"/>
      <c r="D2" s="9"/>
      <c r="E2" s="9"/>
      <c r="F2" s="9"/>
      <c r="G2" s="9"/>
    </row>
    <row r="3" spans="1:7" ht="15.75" customHeight="1" x14ac:dyDescent="0.2">
      <c r="A3" s="8" t="s">
        <v>76</v>
      </c>
      <c r="B3" s="8"/>
      <c r="C3" s="8"/>
      <c r="D3" s="8"/>
      <c r="E3" s="8"/>
      <c r="F3" s="8"/>
      <c r="G3" s="8"/>
    </row>
    <row r="4" spans="1:7" ht="15.75" customHeight="1" x14ac:dyDescent="0.2">
      <c r="A4" s="65" t="s">
        <v>1</v>
      </c>
      <c r="B4" s="65" t="s">
        <v>2</v>
      </c>
      <c r="C4" s="65" t="s">
        <v>77</v>
      </c>
      <c r="D4" s="65"/>
      <c r="E4" s="65"/>
      <c r="F4" s="65"/>
      <c r="G4" s="65"/>
    </row>
    <row r="5" spans="1:7" ht="15" customHeight="1" x14ac:dyDescent="0.2">
      <c r="A5" s="16">
        <v>1</v>
      </c>
      <c r="B5" s="66" t="s">
        <v>9</v>
      </c>
      <c r="C5" s="18" t="s">
        <v>78</v>
      </c>
      <c r="D5" s="16"/>
      <c r="E5" s="16"/>
      <c r="F5" s="16"/>
      <c r="G5" s="16"/>
    </row>
    <row r="6" spans="1:7" ht="15" customHeight="1" x14ac:dyDescent="0.2">
      <c r="A6" s="67">
        <v>2</v>
      </c>
      <c r="B6" s="68" t="s">
        <v>79</v>
      </c>
      <c r="C6" s="69" t="s">
        <v>80</v>
      </c>
      <c r="D6" s="67"/>
      <c r="E6" s="67"/>
      <c r="F6" s="67"/>
      <c r="G6" s="67"/>
    </row>
    <row r="7" spans="1:7" ht="15" customHeight="1" x14ac:dyDescent="0.2">
      <c r="A7" s="16">
        <v>3</v>
      </c>
      <c r="B7" s="66" t="s">
        <v>53</v>
      </c>
      <c r="C7" s="18" t="s">
        <v>81</v>
      </c>
      <c r="D7" s="16"/>
      <c r="E7" s="16"/>
      <c r="F7" s="16"/>
      <c r="G7" s="16"/>
    </row>
    <row r="8" spans="1:7" ht="15" customHeight="1" x14ac:dyDescent="0.2">
      <c r="A8" s="67">
        <v>4</v>
      </c>
      <c r="B8" s="68" t="s">
        <v>82</v>
      </c>
      <c r="C8" s="69" t="s">
        <v>83</v>
      </c>
      <c r="D8" s="67"/>
      <c r="E8" s="67"/>
      <c r="F8" s="67"/>
      <c r="G8" s="67"/>
    </row>
    <row r="9" spans="1:7" ht="15" customHeight="1" x14ac:dyDescent="0.2">
      <c r="A9" s="16">
        <v>5</v>
      </c>
      <c r="B9" s="66" t="s">
        <v>58</v>
      </c>
      <c r="C9" s="18" t="s">
        <v>84</v>
      </c>
      <c r="D9" s="16"/>
      <c r="E9" s="16"/>
      <c r="F9" s="16"/>
      <c r="G9" s="16"/>
    </row>
    <row r="10" spans="1:7" ht="15" customHeight="1" x14ac:dyDescent="0.2">
      <c r="A10" s="67">
        <v>6</v>
      </c>
      <c r="B10" s="68" t="s">
        <v>85</v>
      </c>
      <c r="C10" s="69" t="s">
        <v>86</v>
      </c>
      <c r="D10" s="67"/>
      <c r="E10" s="67"/>
      <c r="F10" s="67"/>
      <c r="G10" s="67"/>
    </row>
    <row r="11" spans="1:7" ht="30" customHeight="1" x14ac:dyDescent="0.2">
      <c r="A11" s="7" t="s">
        <v>87</v>
      </c>
      <c r="B11" s="7"/>
      <c r="C11" s="7"/>
      <c r="D11" s="7"/>
      <c r="E11" s="7"/>
      <c r="F11" s="7"/>
      <c r="G11" s="7"/>
    </row>
    <row r="13" spans="1:7" ht="21.75" customHeight="1" x14ac:dyDescent="0.2">
      <c r="A13" s="6" t="s">
        <v>88</v>
      </c>
      <c r="B13" s="6"/>
      <c r="C13" s="6"/>
      <c r="D13" s="6"/>
      <c r="E13" s="6"/>
      <c r="F13" s="6"/>
      <c r="G13" s="6"/>
    </row>
    <row r="14" spans="1:7" ht="15.75" customHeight="1" x14ac:dyDescent="0.2">
      <c r="A14" s="5" t="s">
        <v>89</v>
      </c>
      <c r="B14" s="5"/>
      <c r="C14" s="5"/>
      <c r="D14" s="5"/>
      <c r="E14" s="5"/>
      <c r="F14" s="5"/>
      <c r="G14" s="5"/>
    </row>
    <row r="15" spans="1:7" ht="15.75" customHeight="1" x14ac:dyDescent="0.2">
      <c r="A15" s="70" t="s">
        <v>1</v>
      </c>
      <c r="B15" s="70" t="s">
        <v>2</v>
      </c>
      <c r="C15" s="70" t="s">
        <v>77</v>
      </c>
      <c r="D15" s="70"/>
      <c r="E15" s="70"/>
      <c r="F15" s="70"/>
      <c r="G15" s="70"/>
    </row>
    <row r="16" spans="1:7" ht="15" customHeight="1" x14ac:dyDescent="0.2">
      <c r="A16" s="22">
        <v>1</v>
      </c>
      <c r="B16" s="71" t="s">
        <v>9</v>
      </c>
      <c r="C16" s="24" t="s">
        <v>90</v>
      </c>
      <c r="D16" s="22"/>
      <c r="E16" s="22"/>
      <c r="F16" s="22"/>
      <c r="G16" s="22"/>
    </row>
    <row r="17" spans="1:7" ht="15" customHeight="1" x14ac:dyDescent="0.2">
      <c r="A17" s="67">
        <v>2</v>
      </c>
      <c r="B17" s="68" t="s">
        <v>20</v>
      </c>
      <c r="C17" s="69" t="s">
        <v>91</v>
      </c>
      <c r="D17" s="67"/>
      <c r="E17" s="67"/>
      <c r="F17" s="67"/>
      <c r="G17" s="67"/>
    </row>
    <row r="18" spans="1:7" ht="15" customHeight="1" x14ac:dyDescent="0.2">
      <c r="A18" s="22">
        <v>3</v>
      </c>
      <c r="B18" s="71" t="s">
        <v>23</v>
      </c>
      <c r="C18" s="24" t="s">
        <v>80</v>
      </c>
      <c r="D18" s="22"/>
      <c r="E18" s="22"/>
      <c r="F18" s="22"/>
      <c r="G18" s="22"/>
    </row>
    <row r="19" spans="1:7" ht="15" customHeight="1" x14ac:dyDescent="0.2">
      <c r="A19" s="67">
        <v>4</v>
      </c>
      <c r="B19" s="68" t="s">
        <v>58</v>
      </c>
      <c r="C19" s="69" t="s">
        <v>92</v>
      </c>
      <c r="D19" s="67"/>
      <c r="E19" s="67"/>
      <c r="F19" s="67"/>
      <c r="G19" s="67"/>
    </row>
    <row r="20" spans="1:7" ht="15" customHeight="1" x14ac:dyDescent="0.2">
      <c r="A20" s="22">
        <v>5</v>
      </c>
      <c r="B20" s="71" t="s">
        <v>93</v>
      </c>
      <c r="C20" s="24" t="s">
        <v>94</v>
      </c>
      <c r="D20" s="22"/>
      <c r="E20" s="22"/>
      <c r="F20" s="22"/>
      <c r="G20" s="22"/>
    </row>
    <row r="21" spans="1:7" ht="30" customHeight="1" x14ac:dyDescent="0.2">
      <c r="A21" s="7" t="s">
        <v>95</v>
      </c>
      <c r="B21" s="7"/>
      <c r="C21" s="7"/>
      <c r="D21" s="7"/>
      <c r="E21" s="7"/>
      <c r="F21" s="7"/>
      <c r="G21" s="7"/>
    </row>
    <row r="23" spans="1:7" ht="21.75" customHeight="1" x14ac:dyDescent="0.2">
      <c r="A23" s="4" t="s">
        <v>96</v>
      </c>
      <c r="B23" s="4"/>
      <c r="C23" s="4"/>
      <c r="D23" s="4"/>
      <c r="E23" s="4"/>
      <c r="F23" s="4"/>
      <c r="G23" s="4"/>
    </row>
    <row r="24" spans="1:7" ht="15.75" customHeight="1" x14ac:dyDescent="0.2">
      <c r="A24" s="3" t="s">
        <v>97</v>
      </c>
      <c r="B24" s="3"/>
      <c r="C24" s="3"/>
      <c r="D24" s="3"/>
      <c r="E24" s="3"/>
      <c r="F24" s="3"/>
      <c r="G24" s="3"/>
    </row>
    <row r="25" spans="1:7" ht="15.75" customHeight="1" x14ac:dyDescent="0.2">
      <c r="A25" s="72" t="s">
        <v>1</v>
      </c>
      <c r="B25" s="72" t="s">
        <v>2</v>
      </c>
      <c r="C25" s="72" t="s">
        <v>77</v>
      </c>
      <c r="D25" s="72"/>
      <c r="E25" s="72"/>
      <c r="F25" s="72"/>
      <c r="G25" s="72"/>
    </row>
    <row r="26" spans="1:7" ht="15" customHeight="1" x14ac:dyDescent="0.2">
      <c r="A26" s="28">
        <v>1</v>
      </c>
      <c r="B26" s="73" t="s">
        <v>13</v>
      </c>
      <c r="C26" s="30" t="s">
        <v>98</v>
      </c>
      <c r="D26" s="28"/>
      <c r="E26" s="28"/>
      <c r="F26" s="28"/>
      <c r="G26" s="28"/>
    </row>
    <row r="27" spans="1:7" ht="15" customHeight="1" x14ac:dyDescent="0.2">
      <c r="A27" s="67">
        <v>2</v>
      </c>
      <c r="B27" s="68" t="s">
        <v>99</v>
      </c>
      <c r="C27" s="69" t="s">
        <v>98</v>
      </c>
      <c r="D27" s="67"/>
      <c r="E27" s="67"/>
      <c r="F27" s="67"/>
      <c r="G27" s="67"/>
    </row>
    <row r="28" spans="1:7" ht="15" customHeight="1" x14ac:dyDescent="0.2">
      <c r="A28" s="28">
        <v>3</v>
      </c>
      <c r="B28" s="73" t="s">
        <v>62</v>
      </c>
      <c r="C28" s="30" t="s">
        <v>98</v>
      </c>
      <c r="D28" s="28"/>
      <c r="E28" s="28"/>
      <c r="F28" s="28"/>
      <c r="G28" s="28"/>
    </row>
    <row r="29" spans="1:7" ht="15" customHeight="1" x14ac:dyDescent="0.2">
      <c r="A29" s="67">
        <v>4</v>
      </c>
      <c r="B29" s="68" t="s">
        <v>100</v>
      </c>
      <c r="C29" s="69" t="s">
        <v>101</v>
      </c>
      <c r="D29" s="67"/>
      <c r="E29" s="67"/>
      <c r="F29" s="67"/>
      <c r="G29" s="67"/>
    </row>
    <row r="30" spans="1:7" ht="15" customHeight="1" x14ac:dyDescent="0.2">
      <c r="A30" s="28">
        <v>5</v>
      </c>
      <c r="B30" s="73" t="s">
        <v>47</v>
      </c>
      <c r="C30" s="30" t="s">
        <v>102</v>
      </c>
      <c r="D30" s="28"/>
      <c r="E30" s="28"/>
      <c r="F30" s="28"/>
      <c r="G30" s="28"/>
    </row>
    <row r="31" spans="1:7" ht="15" customHeight="1" x14ac:dyDescent="0.2">
      <c r="A31" s="67">
        <v>6</v>
      </c>
      <c r="B31" s="68" t="s">
        <v>33</v>
      </c>
      <c r="C31" s="69" t="s">
        <v>103</v>
      </c>
      <c r="D31" s="67"/>
      <c r="E31" s="67"/>
      <c r="F31" s="67"/>
      <c r="G31" s="67"/>
    </row>
    <row r="32" spans="1:7" ht="15" customHeight="1" x14ac:dyDescent="0.2">
      <c r="A32" s="28">
        <v>7</v>
      </c>
      <c r="B32" s="73" t="s">
        <v>48</v>
      </c>
      <c r="C32" s="30" t="s">
        <v>104</v>
      </c>
      <c r="D32" s="28"/>
      <c r="E32" s="28"/>
      <c r="F32" s="28"/>
      <c r="G32" s="28"/>
    </row>
    <row r="33" spans="1:7" ht="15" customHeight="1" x14ac:dyDescent="0.2">
      <c r="A33" s="67">
        <v>8</v>
      </c>
      <c r="B33" s="68" t="s">
        <v>105</v>
      </c>
      <c r="C33" s="69" t="s">
        <v>98</v>
      </c>
      <c r="D33" s="67"/>
      <c r="E33" s="67"/>
      <c r="F33" s="67"/>
      <c r="G33" s="67"/>
    </row>
    <row r="34" spans="1:7" ht="15" customHeight="1" x14ac:dyDescent="0.2">
      <c r="A34" s="28">
        <v>9</v>
      </c>
      <c r="B34" s="73" t="s">
        <v>55</v>
      </c>
      <c r="C34" s="30" t="s">
        <v>106</v>
      </c>
      <c r="D34" s="28"/>
      <c r="E34" s="28"/>
      <c r="F34" s="28"/>
      <c r="G34" s="28"/>
    </row>
    <row r="35" spans="1:7" ht="30" customHeight="1" x14ac:dyDescent="0.2">
      <c r="A35" s="7" t="s">
        <v>107</v>
      </c>
      <c r="B35" s="7"/>
      <c r="C35" s="7"/>
      <c r="D35" s="7"/>
      <c r="E35" s="7"/>
      <c r="F35" s="7"/>
      <c r="G35" s="7"/>
    </row>
    <row r="37" spans="1:7" ht="21.75" customHeight="1" x14ac:dyDescent="0.2">
      <c r="A37" s="2" t="s">
        <v>108</v>
      </c>
      <c r="B37" s="2"/>
      <c r="C37" s="2"/>
      <c r="D37" s="2"/>
      <c r="E37" s="2"/>
      <c r="F37" s="2"/>
      <c r="G37" s="2"/>
    </row>
    <row r="38" spans="1:7" ht="15.75" customHeight="1" x14ac:dyDescent="0.2">
      <c r="A38" s="1" t="s">
        <v>109</v>
      </c>
      <c r="B38" s="1"/>
      <c r="C38" s="1"/>
      <c r="D38" s="1"/>
      <c r="E38" s="1"/>
      <c r="F38" s="1"/>
      <c r="G38" s="1"/>
    </row>
    <row r="39" spans="1:7" ht="15.75" customHeight="1" x14ac:dyDescent="0.2">
      <c r="A39" s="74" t="s">
        <v>1</v>
      </c>
      <c r="B39" s="74" t="s">
        <v>2</v>
      </c>
      <c r="C39" s="74" t="s">
        <v>77</v>
      </c>
      <c r="D39" s="74"/>
      <c r="E39" s="74"/>
      <c r="F39" s="74"/>
      <c r="G39" s="74"/>
    </row>
    <row r="40" spans="1:7" ht="15" customHeight="1" x14ac:dyDescent="0.2">
      <c r="A40" s="34">
        <v>1</v>
      </c>
      <c r="B40" s="75" t="s">
        <v>13</v>
      </c>
      <c r="C40" s="36" t="s">
        <v>98</v>
      </c>
      <c r="D40" s="34"/>
      <c r="E40" s="34"/>
      <c r="F40" s="34"/>
      <c r="G40" s="34"/>
    </row>
    <row r="41" spans="1:7" ht="15" customHeight="1" x14ac:dyDescent="0.2">
      <c r="A41" s="67">
        <v>2</v>
      </c>
      <c r="B41" s="68" t="s">
        <v>25</v>
      </c>
      <c r="C41" s="69" t="s">
        <v>110</v>
      </c>
      <c r="D41" s="67"/>
      <c r="E41" s="67"/>
      <c r="F41" s="67"/>
      <c r="G41" s="67"/>
    </row>
    <row r="42" spans="1:7" ht="15" customHeight="1" x14ac:dyDescent="0.2">
      <c r="A42" s="34">
        <v>3</v>
      </c>
      <c r="B42" s="75" t="s">
        <v>48</v>
      </c>
      <c r="C42" s="36" t="s">
        <v>111</v>
      </c>
      <c r="D42" s="34"/>
      <c r="E42" s="34"/>
      <c r="F42" s="34"/>
      <c r="G42" s="34"/>
    </row>
    <row r="43" spans="1:7" ht="15" customHeight="1" x14ac:dyDescent="0.2">
      <c r="A43" s="67">
        <v>4</v>
      </c>
      <c r="B43" s="68" t="s">
        <v>41</v>
      </c>
      <c r="C43" s="69" t="s">
        <v>112</v>
      </c>
      <c r="D43" s="67"/>
      <c r="E43" s="67"/>
      <c r="F43" s="67"/>
      <c r="G43" s="67"/>
    </row>
    <row r="44" spans="1:7" ht="15" customHeight="1" x14ac:dyDescent="0.2">
      <c r="A44" s="34">
        <v>5</v>
      </c>
      <c r="B44" s="75" t="s">
        <v>47</v>
      </c>
      <c r="C44" s="36" t="s">
        <v>113</v>
      </c>
      <c r="D44" s="34"/>
      <c r="E44" s="34"/>
      <c r="F44" s="34"/>
      <c r="G44" s="34"/>
    </row>
    <row r="45" spans="1:7" ht="15" customHeight="1" x14ac:dyDescent="0.2">
      <c r="A45" s="67">
        <v>6</v>
      </c>
      <c r="B45" s="68" t="s">
        <v>105</v>
      </c>
      <c r="C45" s="69" t="s">
        <v>98</v>
      </c>
      <c r="D45" s="67"/>
      <c r="E45" s="67"/>
      <c r="F45" s="67"/>
      <c r="G45" s="67"/>
    </row>
    <row r="46" spans="1:7" ht="15" customHeight="1" x14ac:dyDescent="0.2">
      <c r="A46" s="34">
        <v>7</v>
      </c>
      <c r="B46" s="75" t="s">
        <v>55</v>
      </c>
      <c r="C46" s="36" t="s">
        <v>114</v>
      </c>
      <c r="D46" s="34"/>
      <c r="E46" s="34"/>
      <c r="F46" s="34"/>
      <c r="G46" s="34"/>
    </row>
    <row r="47" spans="1:7" ht="30" customHeight="1" x14ac:dyDescent="0.2">
      <c r="A47" s="7" t="s">
        <v>115</v>
      </c>
      <c r="B47" s="7"/>
      <c r="C47" s="7"/>
      <c r="D47" s="7"/>
      <c r="E47" s="7"/>
      <c r="F47" s="7"/>
      <c r="G47" s="7"/>
    </row>
    <row r="49" spans="1:7" ht="21.75" customHeight="1" x14ac:dyDescent="0.2">
      <c r="A49" s="85" t="s">
        <v>116</v>
      </c>
      <c r="B49" s="85"/>
      <c r="C49" s="85"/>
      <c r="D49" s="85"/>
      <c r="E49" s="85"/>
      <c r="F49" s="85"/>
      <c r="G49" s="85"/>
    </row>
    <row r="50" spans="1:7" ht="15.75" customHeight="1" x14ac:dyDescent="0.2">
      <c r="A50" s="86" t="s">
        <v>117</v>
      </c>
      <c r="B50" s="86"/>
      <c r="C50" s="86"/>
      <c r="D50" s="86"/>
      <c r="E50" s="86"/>
      <c r="F50" s="86"/>
      <c r="G50" s="86"/>
    </row>
    <row r="51" spans="1:7" ht="15.75" customHeight="1" x14ac:dyDescent="0.2">
      <c r="A51" s="76" t="s">
        <v>1</v>
      </c>
      <c r="B51" s="76" t="s">
        <v>2</v>
      </c>
      <c r="C51" s="76" t="s">
        <v>77</v>
      </c>
      <c r="D51" s="76"/>
      <c r="E51" s="76"/>
      <c r="F51" s="76"/>
      <c r="G51" s="76"/>
    </row>
    <row r="52" spans="1:7" ht="15" customHeight="1" x14ac:dyDescent="0.2">
      <c r="A52" s="40">
        <v>1</v>
      </c>
      <c r="B52" s="77" t="s">
        <v>13</v>
      </c>
      <c r="C52" s="42" t="s">
        <v>98</v>
      </c>
      <c r="D52" s="40"/>
      <c r="E52" s="40"/>
      <c r="F52" s="40"/>
      <c r="G52" s="40"/>
    </row>
    <row r="53" spans="1:7" ht="15" customHeight="1" x14ac:dyDescent="0.2">
      <c r="A53" s="67">
        <v>2</v>
      </c>
      <c r="B53" s="68" t="s">
        <v>9</v>
      </c>
      <c r="C53" s="69" t="s">
        <v>98</v>
      </c>
      <c r="D53" s="67"/>
      <c r="E53" s="67"/>
      <c r="F53" s="67"/>
      <c r="G53" s="67"/>
    </row>
    <row r="54" spans="1:7" ht="15" customHeight="1" x14ac:dyDescent="0.2">
      <c r="A54" s="40">
        <v>3</v>
      </c>
      <c r="B54" s="77" t="s">
        <v>58</v>
      </c>
      <c r="C54" s="42" t="s">
        <v>118</v>
      </c>
      <c r="D54" s="40"/>
      <c r="E54" s="40"/>
      <c r="F54" s="40"/>
      <c r="G54" s="40"/>
    </row>
    <row r="55" spans="1:7" ht="15" customHeight="1" x14ac:dyDescent="0.2">
      <c r="A55" s="67">
        <v>4</v>
      </c>
      <c r="B55" s="68" t="s">
        <v>25</v>
      </c>
      <c r="C55" s="69" t="s">
        <v>119</v>
      </c>
      <c r="D55" s="67"/>
      <c r="E55" s="67"/>
      <c r="F55" s="67"/>
      <c r="G55" s="67"/>
    </row>
    <row r="56" spans="1:7" ht="15" customHeight="1" x14ac:dyDescent="0.2">
      <c r="A56" s="40">
        <v>5</v>
      </c>
      <c r="B56" s="77" t="s">
        <v>41</v>
      </c>
      <c r="C56" s="42" t="s">
        <v>120</v>
      </c>
      <c r="D56" s="40"/>
      <c r="E56" s="40"/>
      <c r="F56" s="40"/>
      <c r="G56" s="40"/>
    </row>
    <row r="57" spans="1:7" ht="15" customHeight="1" x14ac:dyDescent="0.2">
      <c r="A57" s="67">
        <v>6</v>
      </c>
      <c r="B57" s="68" t="s">
        <v>47</v>
      </c>
      <c r="C57" s="69" t="s">
        <v>98</v>
      </c>
      <c r="D57" s="67"/>
      <c r="E57" s="67"/>
      <c r="F57" s="67"/>
      <c r="G57" s="67"/>
    </row>
    <row r="58" spans="1:7" ht="15" customHeight="1" x14ac:dyDescent="0.2">
      <c r="A58" s="40">
        <v>7</v>
      </c>
      <c r="B58" s="77" t="s">
        <v>82</v>
      </c>
      <c r="C58" s="42" t="s">
        <v>98</v>
      </c>
      <c r="D58" s="40"/>
      <c r="E58" s="40"/>
      <c r="F58" s="40"/>
      <c r="G58" s="40"/>
    </row>
    <row r="59" spans="1:7" ht="15" customHeight="1" x14ac:dyDescent="0.2">
      <c r="A59" s="67">
        <v>8</v>
      </c>
      <c r="B59" s="68" t="s">
        <v>53</v>
      </c>
      <c r="C59" s="69" t="s">
        <v>114</v>
      </c>
      <c r="D59" s="67"/>
      <c r="E59" s="67"/>
      <c r="F59" s="67"/>
      <c r="G59" s="67"/>
    </row>
    <row r="60" spans="1:7" ht="30" customHeight="1" x14ac:dyDescent="0.2">
      <c r="A60" s="7" t="s">
        <v>121</v>
      </c>
      <c r="B60" s="7"/>
      <c r="C60" s="7"/>
      <c r="D60" s="7"/>
      <c r="E60" s="7"/>
      <c r="F60" s="7"/>
      <c r="G60" s="7"/>
    </row>
    <row r="62" spans="1:7" ht="21.75" customHeight="1" x14ac:dyDescent="0.2">
      <c r="A62" s="87" t="s">
        <v>122</v>
      </c>
      <c r="B62" s="87"/>
      <c r="C62" s="87"/>
      <c r="D62" s="87"/>
      <c r="E62" s="87"/>
      <c r="F62" s="87"/>
      <c r="G62" s="87"/>
    </row>
    <row r="63" spans="1:7" ht="15.75" customHeight="1" x14ac:dyDescent="0.2">
      <c r="A63" s="88" t="s">
        <v>123</v>
      </c>
      <c r="B63" s="88"/>
      <c r="C63" s="88"/>
      <c r="D63" s="88"/>
      <c r="E63" s="88"/>
      <c r="F63" s="88"/>
      <c r="G63" s="88"/>
    </row>
    <row r="64" spans="1:7" ht="15.75" customHeight="1" x14ac:dyDescent="0.2">
      <c r="A64" s="78" t="s">
        <v>1</v>
      </c>
      <c r="B64" s="78" t="s">
        <v>2</v>
      </c>
      <c r="C64" s="78" t="s">
        <v>77</v>
      </c>
      <c r="D64" s="78"/>
      <c r="E64" s="78"/>
      <c r="F64" s="78"/>
      <c r="G64" s="78"/>
    </row>
    <row r="65" spans="1:7" ht="15" customHeight="1" x14ac:dyDescent="0.2">
      <c r="A65" s="45">
        <v>1</v>
      </c>
      <c r="B65" s="79" t="s">
        <v>13</v>
      </c>
      <c r="C65" s="47" t="s">
        <v>98</v>
      </c>
      <c r="D65" s="45"/>
      <c r="E65" s="45"/>
      <c r="F65" s="45"/>
      <c r="G65" s="45"/>
    </row>
    <row r="66" spans="1:7" ht="15" customHeight="1" x14ac:dyDescent="0.2">
      <c r="A66" s="67">
        <v>2</v>
      </c>
      <c r="B66" s="68" t="s">
        <v>124</v>
      </c>
      <c r="C66" s="69" t="s">
        <v>125</v>
      </c>
      <c r="D66" s="67"/>
      <c r="E66" s="67"/>
      <c r="F66" s="67"/>
      <c r="G66" s="67"/>
    </row>
    <row r="67" spans="1:7" ht="15" customHeight="1" x14ac:dyDescent="0.2">
      <c r="A67" s="45">
        <v>3</v>
      </c>
      <c r="B67" s="79" t="s">
        <v>126</v>
      </c>
      <c r="C67" s="47" t="s">
        <v>127</v>
      </c>
      <c r="D67" s="45"/>
      <c r="E67" s="45"/>
      <c r="F67" s="45"/>
      <c r="G67" s="45"/>
    </row>
    <row r="68" spans="1:7" ht="15" customHeight="1" x14ac:dyDescent="0.2">
      <c r="A68" s="67">
        <v>4</v>
      </c>
      <c r="B68" s="68" t="s">
        <v>31</v>
      </c>
      <c r="C68" s="69" t="s">
        <v>128</v>
      </c>
      <c r="D68" s="67"/>
      <c r="E68" s="67"/>
      <c r="F68" s="67"/>
      <c r="G68" s="67"/>
    </row>
    <row r="69" spans="1:7" ht="15" customHeight="1" x14ac:dyDescent="0.2">
      <c r="A69" s="45">
        <v>5</v>
      </c>
      <c r="B69" s="79" t="s">
        <v>48</v>
      </c>
      <c r="C69" s="47" t="s">
        <v>129</v>
      </c>
      <c r="D69" s="45"/>
      <c r="E69" s="45"/>
      <c r="F69" s="45"/>
      <c r="G69" s="45"/>
    </row>
    <row r="70" spans="1:7" ht="15" customHeight="1" x14ac:dyDescent="0.2">
      <c r="A70" s="67">
        <v>6</v>
      </c>
      <c r="B70" s="68" t="s">
        <v>105</v>
      </c>
      <c r="C70" s="69" t="s">
        <v>98</v>
      </c>
      <c r="D70" s="67"/>
      <c r="E70" s="67"/>
      <c r="F70" s="67"/>
      <c r="G70" s="67"/>
    </row>
    <row r="71" spans="1:7" ht="15" customHeight="1" x14ac:dyDescent="0.2">
      <c r="A71" s="45">
        <v>7</v>
      </c>
      <c r="B71" s="79" t="s">
        <v>55</v>
      </c>
      <c r="C71" s="47" t="s">
        <v>130</v>
      </c>
      <c r="D71" s="45"/>
      <c r="E71" s="45"/>
      <c r="F71" s="45"/>
      <c r="G71" s="45"/>
    </row>
    <row r="72" spans="1:7" ht="30" customHeight="1" x14ac:dyDescent="0.2">
      <c r="A72" s="7" t="s">
        <v>131</v>
      </c>
      <c r="B72" s="7"/>
      <c r="C72" s="7"/>
      <c r="D72" s="7"/>
      <c r="E72" s="7"/>
      <c r="F72" s="7"/>
      <c r="G72" s="7"/>
    </row>
    <row r="74" spans="1:7" ht="21.75" customHeight="1" x14ac:dyDescent="0.2">
      <c r="A74" s="89" t="s">
        <v>132</v>
      </c>
      <c r="B74" s="89"/>
      <c r="C74" s="89"/>
      <c r="D74" s="89"/>
      <c r="E74" s="89"/>
      <c r="F74" s="89"/>
      <c r="G74" s="89"/>
    </row>
    <row r="75" spans="1:7" ht="15.75" customHeight="1" x14ac:dyDescent="0.2">
      <c r="A75" s="90" t="s">
        <v>133</v>
      </c>
      <c r="B75" s="90"/>
      <c r="C75" s="90"/>
      <c r="D75" s="90"/>
      <c r="E75" s="90"/>
      <c r="F75" s="90"/>
      <c r="G75" s="90"/>
    </row>
    <row r="76" spans="1:7" ht="15.75" customHeight="1" x14ac:dyDescent="0.2">
      <c r="A76" s="80" t="s">
        <v>1</v>
      </c>
      <c r="B76" s="80" t="s">
        <v>2</v>
      </c>
      <c r="C76" s="80" t="s">
        <v>77</v>
      </c>
      <c r="D76" s="80"/>
      <c r="E76" s="80"/>
      <c r="F76" s="80"/>
      <c r="G76" s="80"/>
    </row>
    <row r="77" spans="1:7" ht="15" customHeight="1" x14ac:dyDescent="0.2">
      <c r="A77" s="57">
        <v>1</v>
      </c>
      <c r="B77" s="81" t="s">
        <v>65</v>
      </c>
      <c r="C77" s="58" t="s">
        <v>134</v>
      </c>
      <c r="D77" s="57"/>
      <c r="E77" s="57"/>
      <c r="F77" s="57"/>
      <c r="G77" s="57"/>
    </row>
    <row r="78" spans="1:7" ht="15" customHeight="1" x14ac:dyDescent="0.2">
      <c r="A78" s="67">
        <v>2</v>
      </c>
      <c r="B78" s="68" t="s">
        <v>135</v>
      </c>
      <c r="C78" s="69" t="s">
        <v>136</v>
      </c>
      <c r="D78" s="67"/>
      <c r="E78" s="67"/>
      <c r="F78" s="67"/>
      <c r="G78" s="67"/>
    </row>
    <row r="79" spans="1:7" ht="15" customHeight="1" x14ac:dyDescent="0.2">
      <c r="A79" s="57">
        <v>3</v>
      </c>
      <c r="B79" s="81" t="s">
        <v>137</v>
      </c>
      <c r="C79" s="58" t="s">
        <v>138</v>
      </c>
      <c r="D79" s="57"/>
      <c r="E79" s="57"/>
      <c r="F79" s="57"/>
      <c r="G79" s="57"/>
    </row>
    <row r="80" spans="1:7" ht="15" customHeight="1" x14ac:dyDescent="0.2">
      <c r="A80" s="67">
        <v>4</v>
      </c>
      <c r="B80" s="68" t="s">
        <v>139</v>
      </c>
      <c r="C80" s="69" t="s">
        <v>140</v>
      </c>
      <c r="D80" s="67"/>
      <c r="E80" s="67"/>
      <c r="F80" s="67"/>
      <c r="G80" s="67"/>
    </row>
    <row r="81" spans="1:7" ht="15" customHeight="1" x14ac:dyDescent="0.2">
      <c r="A81" s="57">
        <v>5</v>
      </c>
      <c r="B81" s="81" t="s">
        <v>67</v>
      </c>
      <c r="C81" s="58" t="s">
        <v>141</v>
      </c>
      <c r="D81" s="57"/>
      <c r="E81" s="57"/>
      <c r="F81" s="57"/>
      <c r="G81" s="57"/>
    </row>
    <row r="82" spans="1:7" ht="15" customHeight="1" x14ac:dyDescent="0.2">
      <c r="A82" s="67">
        <v>6</v>
      </c>
      <c r="B82" s="68" t="s">
        <v>142</v>
      </c>
      <c r="C82" s="69" t="s">
        <v>143</v>
      </c>
      <c r="D82" s="67"/>
      <c r="E82" s="67"/>
      <c r="F82" s="67"/>
      <c r="G82" s="67"/>
    </row>
    <row r="83" spans="1:7" ht="15" customHeight="1" x14ac:dyDescent="0.2">
      <c r="A83" s="57">
        <v>7</v>
      </c>
      <c r="B83" s="81" t="s">
        <v>144</v>
      </c>
      <c r="C83" s="58" t="s">
        <v>145</v>
      </c>
      <c r="D83" s="57"/>
      <c r="E83" s="57"/>
      <c r="F83" s="57"/>
      <c r="G83" s="57"/>
    </row>
    <row r="84" spans="1:7" ht="15" customHeight="1" x14ac:dyDescent="0.2">
      <c r="A84" s="67">
        <v>8</v>
      </c>
      <c r="B84" s="68" t="s">
        <v>146</v>
      </c>
      <c r="C84" s="69" t="s">
        <v>147</v>
      </c>
      <c r="D84" s="67"/>
      <c r="E84" s="67"/>
      <c r="F84" s="67"/>
      <c r="G84" s="67"/>
    </row>
    <row r="85" spans="1:7" ht="30" customHeight="1" x14ac:dyDescent="0.2">
      <c r="A85" s="7" t="s">
        <v>148</v>
      </c>
      <c r="B85" s="7"/>
      <c r="C85" s="7"/>
      <c r="D85" s="7"/>
      <c r="E85" s="7"/>
      <c r="F85" s="7"/>
      <c r="G85" s="7"/>
    </row>
    <row r="87" spans="1:7" ht="21.75" customHeight="1" x14ac:dyDescent="0.2">
      <c r="A87" s="91" t="s">
        <v>149</v>
      </c>
      <c r="B87" s="91"/>
      <c r="C87" s="91"/>
      <c r="D87" s="91"/>
      <c r="E87" s="91"/>
      <c r="F87" s="91"/>
      <c r="G87" s="91"/>
    </row>
    <row r="88" spans="1:7" ht="15.75" customHeight="1" x14ac:dyDescent="0.2">
      <c r="A88" s="92" t="s">
        <v>150</v>
      </c>
      <c r="B88" s="92"/>
      <c r="C88" s="92"/>
      <c r="D88" s="92"/>
      <c r="E88" s="92"/>
      <c r="F88" s="92"/>
      <c r="G88" s="92"/>
    </row>
    <row r="89" spans="1:7" ht="15.75" customHeight="1" x14ac:dyDescent="0.2">
      <c r="A89" s="82" t="s">
        <v>1</v>
      </c>
      <c r="B89" s="82" t="s">
        <v>2</v>
      </c>
      <c r="C89" s="82" t="s">
        <v>77</v>
      </c>
      <c r="D89" s="82"/>
      <c r="E89" s="82"/>
      <c r="F89" s="82"/>
      <c r="G89" s="82"/>
    </row>
    <row r="90" spans="1:7" ht="15" customHeight="1" x14ac:dyDescent="0.2">
      <c r="A90" s="53">
        <v>1</v>
      </c>
      <c r="B90" s="83" t="s">
        <v>13</v>
      </c>
      <c r="C90" s="55" t="s">
        <v>98</v>
      </c>
      <c r="D90" s="53"/>
      <c r="E90" s="53"/>
      <c r="F90" s="53"/>
      <c r="G90" s="53"/>
    </row>
    <row r="91" spans="1:7" ht="15" customHeight="1" x14ac:dyDescent="0.2">
      <c r="A91" s="67">
        <v>2</v>
      </c>
      <c r="B91" s="68" t="s">
        <v>151</v>
      </c>
      <c r="C91" s="69" t="s">
        <v>152</v>
      </c>
      <c r="D91" s="67"/>
      <c r="E91" s="67"/>
      <c r="F91" s="67"/>
      <c r="G91" s="67"/>
    </row>
    <row r="92" spans="1:7" ht="15" customHeight="1" x14ac:dyDescent="0.2">
      <c r="A92" s="53">
        <v>3</v>
      </c>
      <c r="B92" s="83" t="s">
        <v>153</v>
      </c>
      <c r="C92" s="55" t="s">
        <v>154</v>
      </c>
      <c r="D92" s="53"/>
      <c r="E92" s="53"/>
      <c r="F92" s="53"/>
      <c r="G92" s="53"/>
    </row>
    <row r="93" spans="1:7" ht="15" customHeight="1" x14ac:dyDescent="0.2">
      <c r="A93" s="67">
        <v>4</v>
      </c>
      <c r="B93" s="68" t="s">
        <v>105</v>
      </c>
      <c r="C93" s="69" t="s">
        <v>98</v>
      </c>
      <c r="D93" s="67"/>
      <c r="E93" s="67"/>
      <c r="F93" s="67"/>
      <c r="G93" s="67"/>
    </row>
    <row r="94" spans="1:7" ht="15" customHeight="1" x14ac:dyDescent="0.2">
      <c r="A94" s="53">
        <v>5</v>
      </c>
      <c r="B94" s="83" t="s">
        <v>55</v>
      </c>
      <c r="C94" s="55" t="s">
        <v>155</v>
      </c>
      <c r="D94" s="53"/>
      <c r="E94" s="53"/>
      <c r="F94" s="53"/>
      <c r="G94" s="53"/>
    </row>
    <row r="95" spans="1:7" ht="15" customHeight="1" x14ac:dyDescent="0.2">
      <c r="A95" s="67">
        <v>6</v>
      </c>
      <c r="B95" s="68" t="s">
        <v>56</v>
      </c>
      <c r="C95" s="69" t="s">
        <v>156</v>
      </c>
      <c r="D95" s="67"/>
      <c r="E95" s="67"/>
      <c r="F95" s="67"/>
      <c r="G95" s="67"/>
    </row>
    <row r="96" spans="1:7" ht="30" customHeight="1" x14ac:dyDescent="0.2">
      <c r="A96" s="7" t="s">
        <v>157</v>
      </c>
      <c r="B96" s="7"/>
      <c r="C96" s="7"/>
      <c r="D96" s="7"/>
      <c r="E96" s="7"/>
      <c r="F96" s="7"/>
      <c r="G96" s="7"/>
    </row>
  </sheetData>
  <mergeCells count="25">
    <mergeCell ref="A75:G75"/>
    <mergeCell ref="A85:G85"/>
    <mergeCell ref="A87:G87"/>
    <mergeCell ref="A88:G88"/>
    <mergeCell ref="A96:G96"/>
    <mergeCell ref="A60:G60"/>
    <mergeCell ref="A62:G62"/>
    <mergeCell ref="A63:G63"/>
    <mergeCell ref="A72:G72"/>
    <mergeCell ref="A74:G74"/>
    <mergeCell ref="A37:G37"/>
    <mergeCell ref="A38:G38"/>
    <mergeCell ref="A47:G47"/>
    <mergeCell ref="A49:G49"/>
    <mergeCell ref="A50:G50"/>
    <mergeCell ref="A14:G14"/>
    <mergeCell ref="A21:G21"/>
    <mergeCell ref="A23:G23"/>
    <mergeCell ref="A24:G24"/>
    <mergeCell ref="A35:G35"/>
    <mergeCell ref="A1:G1"/>
    <mergeCell ref="A2:G2"/>
    <mergeCell ref="A3:G3"/>
    <mergeCell ref="A11:G11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showGridLines="0" zoomScaleNormal="100" workbookViewId="0"/>
  </sheetViews>
  <sheetFormatPr baseColWidth="10" defaultColWidth="8.6640625" defaultRowHeight="15" x14ac:dyDescent="0.2"/>
  <cols>
    <col min="1" max="1" width="5" customWidth="1"/>
    <col min="2" max="2" width="25" customWidth="1"/>
    <col min="3" max="3" width="20" customWidth="1"/>
    <col min="4" max="4" width="15" customWidth="1"/>
    <col min="5" max="6" width="30" customWidth="1"/>
  </cols>
  <sheetData>
    <row r="1" spans="1:6" ht="25.5" customHeight="1" x14ac:dyDescent="0.2">
      <c r="A1" s="10" t="s">
        <v>158</v>
      </c>
      <c r="B1" s="10"/>
      <c r="C1" s="10"/>
      <c r="D1" s="10"/>
      <c r="E1" s="10"/>
      <c r="F1" s="10"/>
    </row>
    <row r="2" spans="1:6" ht="19.5" customHeight="1" x14ac:dyDescent="0.2">
      <c r="A2" s="84" t="s">
        <v>1</v>
      </c>
      <c r="B2" s="84" t="s">
        <v>159</v>
      </c>
      <c r="C2" s="84" t="s">
        <v>160</v>
      </c>
      <c r="D2" s="84" t="s">
        <v>5</v>
      </c>
      <c r="E2" s="84" t="s">
        <v>161</v>
      </c>
      <c r="F2" s="84" t="s">
        <v>162</v>
      </c>
    </row>
    <row r="3" spans="1:6" ht="27.75" customHeight="1" x14ac:dyDescent="0.2">
      <c r="A3" s="22">
        <v>1</v>
      </c>
      <c r="B3" s="23" t="s">
        <v>163</v>
      </c>
      <c r="C3" s="22" t="s">
        <v>164</v>
      </c>
      <c r="D3" s="22" t="s">
        <v>52</v>
      </c>
      <c r="E3" s="27" t="s">
        <v>165</v>
      </c>
      <c r="F3" s="24" t="s">
        <v>166</v>
      </c>
    </row>
    <row r="4" spans="1:6" ht="27.75" customHeight="1" x14ac:dyDescent="0.2">
      <c r="A4" s="28">
        <v>2</v>
      </c>
      <c r="B4" s="29" t="s">
        <v>167</v>
      </c>
      <c r="C4" s="28" t="s">
        <v>164</v>
      </c>
      <c r="D4" s="28" t="s">
        <v>168</v>
      </c>
      <c r="E4" s="33" t="s">
        <v>169</v>
      </c>
      <c r="F4" s="30" t="s">
        <v>170</v>
      </c>
    </row>
    <row r="5" spans="1:6" ht="27.75" customHeight="1" x14ac:dyDescent="0.2">
      <c r="A5" s="34">
        <v>3</v>
      </c>
      <c r="B5" s="35" t="s">
        <v>171</v>
      </c>
      <c r="C5" s="34" t="s">
        <v>172</v>
      </c>
      <c r="D5" s="34" t="s">
        <v>12</v>
      </c>
      <c r="E5" s="39" t="s">
        <v>173</v>
      </c>
      <c r="F5" s="36" t="s">
        <v>174</v>
      </c>
    </row>
    <row r="6" spans="1:6" ht="27.75" customHeight="1" x14ac:dyDescent="0.2">
      <c r="A6" s="40">
        <v>4</v>
      </c>
      <c r="B6" s="41" t="s">
        <v>175</v>
      </c>
      <c r="C6" s="40" t="s">
        <v>176</v>
      </c>
      <c r="D6" s="40" t="s">
        <v>16</v>
      </c>
      <c r="E6" s="44" t="s">
        <v>177</v>
      </c>
      <c r="F6" s="42" t="s">
        <v>178</v>
      </c>
    </row>
    <row r="7" spans="1:6" ht="27.75" customHeight="1" x14ac:dyDescent="0.2">
      <c r="A7" s="45">
        <v>5</v>
      </c>
      <c r="B7" s="46" t="s">
        <v>179</v>
      </c>
      <c r="C7" s="45" t="s">
        <v>172</v>
      </c>
      <c r="D7" s="45" t="s">
        <v>16</v>
      </c>
      <c r="E7" s="48" t="s">
        <v>180</v>
      </c>
      <c r="F7" s="47" t="s">
        <v>181</v>
      </c>
    </row>
    <row r="8" spans="1:6" ht="27.75" customHeight="1" x14ac:dyDescent="0.2">
      <c r="A8" s="16">
        <v>6</v>
      </c>
      <c r="B8" s="17" t="s">
        <v>182</v>
      </c>
      <c r="C8" s="16" t="s">
        <v>172</v>
      </c>
      <c r="D8" s="16" t="s">
        <v>16</v>
      </c>
      <c r="E8" s="21" t="s">
        <v>183</v>
      </c>
      <c r="F8" s="18" t="s">
        <v>184</v>
      </c>
    </row>
    <row r="9" spans="1:6" ht="27.75" customHeight="1" x14ac:dyDescent="0.2">
      <c r="A9" s="22">
        <v>7</v>
      </c>
      <c r="B9" s="23" t="s">
        <v>185</v>
      </c>
      <c r="C9" s="22" t="s">
        <v>172</v>
      </c>
      <c r="D9" s="22" t="s">
        <v>22</v>
      </c>
      <c r="E9" s="27" t="s">
        <v>186</v>
      </c>
      <c r="F9" s="24" t="s">
        <v>187</v>
      </c>
    </row>
    <row r="10" spans="1:6" ht="27.75" customHeight="1" x14ac:dyDescent="0.2">
      <c r="A10" s="28">
        <v>8</v>
      </c>
      <c r="B10" s="29" t="s">
        <v>188</v>
      </c>
      <c r="C10" s="28" t="s">
        <v>172</v>
      </c>
      <c r="D10" s="28" t="s">
        <v>189</v>
      </c>
      <c r="E10" s="33" t="s">
        <v>190</v>
      </c>
      <c r="F10" s="30" t="s">
        <v>191</v>
      </c>
    </row>
    <row r="11" spans="1:6" ht="27.75" customHeight="1" x14ac:dyDescent="0.2">
      <c r="A11" s="34">
        <v>9</v>
      </c>
      <c r="B11" s="35" t="s">
        <v>192</v>
      </c>
      <c r="C11" s="34" t="s">
        <v>172</v>
      </c>
      <c r="D11" s="34" t="s">
        <v>193</v>
      </c>
      <c r="E11" s="39" t="s">
        <v>194</v>
      </c>
      <c r="F11" s="36" t="s">
        <v>195</v>
      </c>
    </row>
    <row r="12" spans="1:6" ht="27.75" customHeight="1" x14ac:dyDescent="0.2">
      <c r="A12" s="40">
        <v>10</v>
      </c>
      <c r="B12" s="41" t="s">
        <v>196</v>
      </c>
      <c r="C12" s="40" t="s">
        <v>197</v>
      </c>
      <c r="D12" s="40" t="s">
        <v>193</v>
      </c>
      <c r="E12" s="44" t="s">
        <v>198</v>
      </c>
      <c r="F12" s="42" t="s">
        <v>199</v>
      </c>
    </row>
    <row r="13" spans="1:6" ht="27.75" customHeight="1" x14ac:dyDescent="0.2">
      <c r="A13" s="45">
        <v>11</v>
      </c>
      <c r="B13" s="46" t="s">
        <v>200</v>
      </c>
      <c r="C13" s="45" t="s">
        <v>201</v>
      </c>
      <c r="D13" s="45" t="s">
        <v>168</v>
      </c>
      <c r="E13" s="48" t="s">
        <v>202</v>
      </c>
      <c r="F13" s="47" t="s">
        <v>203</v>
      </c>
    </row>
    <row r="14" spans="1:6" ht="27.75" customHeight="1" x14ac:dyDescent="0.2">
      <c r="A14" s="16">
        <v>12</v>
      </c>
      <c r="B14" s="17" t="s">
        <v>204</v>
      </c>
      <c r="C14" s="16" t="s">
        <v>205</v>
      </c>
      <c r="D14" s="16" t="s">
        <v>206</v>
      </c>
      <c r="E14" s="21" t="s">
        <v>207</v>
      </c>
      <c r="F14" s="18" t="s">
        <v>208</v>
      </c>
    </row>
    <row r="15" spans="1:6" ht="27.75" customHeight="1" x14ac:dyDescent="0.2">
      <c r="A15" s="22">
        <v>13</v>
      </c>
      <c r="B15" s="23" t="s">
        <v>209</v>
      </c>
      <c r="C15" s="22" t="s">
        <v>201</v>
      </c>
      <c r="D15" s="22" t="s">
        <v>37</v>
      </c>
      <c r="E15" s="27" t="s">
        <v>210</v>
      </c>
      <c r="F15" s="24" t="s">
        <v>211</v>
      </c>
    </row>
    <row r="16" spans="1:6" ht="27.75" customHeight="1" x14ac:dyDescent="0.2">
      <c r="A16" s="28">
        <v>14</v>
      </c>
      <c r="B16" s="29" t="s">
        <v>212</v>
      </c>
      <c r="C16" s="28" t="s">
        <v>201</v>
      </c>
      <c r="D16" s="28" t="s">
        <v>30</v>
      </c>
      <c r="E16" s="33" t="s">
        <v>213</v>
      </c>
      <c r="F16" s="30" t="s">
        <v>214</v>
      </c>
    </row>
    <row r="17" spans="1:6" ht="27.75" customHeight="1" x14ac:dyDescent="0.2">
      <c r="A17" s="34">
        <v>15</v>
      </c>
      <c r="B17" s="35" t="s">
        <v>215</v>
      </c>
      <c r="C17" s="34" t="s">
        <v>201</v>
      </c>
      <c r="D17" s="34" t="s">
        <v>30</v>
      </c>
      <c r="E17" s="39" t="s">
        <v>216</v>
      </c>
      <c r="F17" s="36" t="s">
        <v>217</v>
      </c>
    </row>
    <row r="18" spans="1:6" ht="27.75" customHeight="1" x14ac:dyDescent="0.2">
      <c r="A18" s="40">
        <v>16</v>
      </c>
      <c r="B18" s="41" t="s">
        <v>218</v>
      </c>
      <c r="C18" s="40" t="s">
        <v>219</v>
      </c>
      <c r="D18" s="40" t="s">
        <v>220</v>
      </c>
      <c r="E18" s="44" t="s">
        <v>221</v>
      </c>
      <c r="F18" s="42" t="s">
        <v>222</v>
      </c>
    </row>
    <row r="19" spans="1:6" ht="27.75" customHeight="1" x14ac:dyDescent="0.2">
      <c r="A19" s="45">
        <v>17</v>
      </c>
      <c r="B19" s="46" t="s">
        <v>223</v>
      </c>
      <c r="C19" s="45" t="s">
        <v>219</v>
      </c>
      <c r="D19" s="45" t="s">
        <v>193</v>
      </c>
      <c r="E19" s="48" t="s">
        <v>224</v>
      </c>
      <c r="F19" s="47" t="s">
        <v>225</v>
      </c>
    </row>
    <row r="20" spans="1:6" ht="27.75" customHeight="1" x14ac:dyDescent="0.2">
      <c r="A20" s="16">
        <v>18</v>
      </c>
      <c r="B20" s="17" t="s">
        <v>226</v>
      </c>
      <c r="C20" s="16" t="s">
        <v>219</v>
      </c>
      <c r="D20" s="16" t="s">
        <v>71</v>
      </c>
      <c r="E20" s="21" t="s">
        <v>227</v>
      </c>
      <c r="F20" s="18" t="s">
        <v>228</v>
      </c>
    </row>
    <row r="21" spans="1:6" ht="27.75" customHeight="1" x14ac:dyDescent="0.2">
      <c r="A21" s="22">
        <v>19</v>
      </c>
      <c r="B21" s="23" t="s">
        <v>229</v>
      </c>
      <c r="C21" s="22" t="s">
        <v>230</v>
      </c>
      <c r="D21" s="22" t="s">
        <v>66</v>
      </c>
      <c r="E21" s="27" t="s">
        <v>231</v>
      </c>
      <c r="F21" s="24" t="s">
        <v>232</v>
      </c>
    </row>
    <row r="22" spans="1:6" ht="27.75" customHeight="1" x14ac:dyDescent="0.2">
      <c r="A22" s="28">
        <v>20</v>
      </c>
      <c r="B22" s="29" t="s">
        <v>233</v>
      </c>
      <c r="C22" s="28" t="s">
        <v>234</v>
      </c>
      <c r="D22" s="28" t="s">
        <v>66</v>
      </c>
      <c r="E22" s="33" t="s">
        <v>235</v>
      </c>
      <c r="F22" s="30" t="s">
        <v>236</v>
      </c>
    </row>
    <row r="23" spans="1:6" ht="27.75" customHeight="1" x14ac:dyDescent="0.2">
      <c r="A23" s="34">
        <v>21</v>
      </c>
      <c r="B23" s="35" t="s">
        <v>237</v>
      </c>
      <c r="C23" s="34" t="s">
        <v>238</v>
      </c>
      <c r="D23" s="34" t="s">
        <v>66</v>
      </c>
      <c r="E23" s="39" t="s">
        <v>239</v>
      </c>
      <c r="F23" s="36" t="s">
        <v>240</v>
      </c>
    </row>
    <row r="24" spans="1:6" ht="27.75" customHeight="1" x14ac:dyDescent="0.2">
      <c r="A24" s="40">
        <v>22</v>
      </c>
      <c r="B24" s="41" t="s">
        <v>241</v>
      </c>
      <c r="C24" s="40" t="s">
        <v>242</v>
      </c>
      <c r="D24" s="40" t="s">
        <v>66</v>
      </c>
      <c r="E24" s="44" t="s">
        <v>243</v>
      </c>
      <c r="F24" s="42" t="s">
        <v>244</v>
      </c>
    </row>
    <row r="25" spans="1:6" ht="27.75" customHeight="1" x14ac:dyDescent="0.2">
      <c r="A25" s="45">
        <v>23</v>
      </c>
      <c r="B25" s="46" t="s">
        <v>245</v>
      </c>
      <c r="C25" s="45" t="s">
        <v>234</v>
      </c>
      <c r="D25" s="45" t="s">
        <v>66</v>
      </c>
      <c r="E25" s="48" t="s">
        <v>246</v>
      </c>
      <c r="F25" s="47" t="s">
        <v>247</v>
      </c>
    </row>
    <row r="26" spans="1:6" ht="27.75" customHeight="1" x14ac:dyDescent="0.2">
      <c r="A26" s="16">
        <v>24</v>
      </c>
      <c r="B26" s="17" t="s">
        <v>248</v>
      </c>
      <c r="C26" s="16" t="s">
        <v>234</v>
      </c>
      <c r="D26" s="16" t="s">
        <v>66</v>
      </c>
      <c r="E26" s="21" t="s">
        <v>249</v>
      </c>
      <c r="F26" s="18" t="s">
        <v>250</v>
      </c>
    </row>
    <row r="27" spans="1:6" ht="27.75" customHeight="1" x14ac:dyDescent="0.2">
      <c r="A27" s="22">
        <v>25</v>
      </c>
      <c r="B27" s="23" t="s">
        <v>251</v>
      </c>
      <c r="C27" s="22" t="s">
        <v>252</v>
      </c>
      <c r="D27" s="22" t="s">
        <v>66</v>
      </c>
      <c r="E27" s="27" t="s">
        <v>253</v>
      </c>
      <c r="F27" s="24" t="s">
        <v>254</v>
      </c>
    </row>
    <row r="28" spans="1:6" ht="27.75" customHeight="1" x14ac:dyDescent="0.2">
      <c r="A28" s="28">
        <v>26</v>
      </c>
      <c r="B28" s="29" t="s">
        <v>255</v>
      </c>
      <c r="C28" s="28" t="s">
        <v>256</v>
      </c>
      <c r="D28" s="28" t="s">
        <v>66</v>
      </c>
      <c r="E28" s="33" t="s">
        <v>257</v>
      </c>
      <c r="F28" s="30" t="s">
        <v>258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Bill of Materials</vt:lpstr>
      <vt:lpstr>Per Experiment</vt:lpstr>
      <vt:lpstr>Software &amp; Tools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Office</cp:lastModifiedBy>
  <cp:revision>0</cp:revision>
  <dcterms:created xsi:type="dcterms:W3CDTF">2026-07-06T06:45:29Z</dcterms:created>
  <dcterms:modified xsi:type="dcterms:W3CDTF">2026-07-06T06:58:18Z</dcterms:modified>
  <dc:language>en-US</dc:language>
</cp:coreProperties>
</file>